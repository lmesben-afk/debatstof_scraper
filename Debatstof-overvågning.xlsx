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1" sheetId="1" r:id="rId5"/>
    <sheet state="visible" name="log" sheetId="2" r:id="rId6"/>
  </sheets>
  <definedNames/>
  <calcPr/>
</workbook>
</file>

<file path=xl/sharedStrings.xml><?xml version="1.0" encoding="utf-8"?>
<sst xmlns="http://schemas.openxmlformats.org/spreadsheetml/2006/main" count="4210" uniqueCount="1694">
  <si>
    <t>fundet_tidspunkt</t>
  </si>
  <si>
    <t>udgivelsestidspunkt</t>
  </si>
  <si>
    <t>medie</t>
  </si>
  <si>
    <t>medietype</t>
  </si>
  <si>
    <t>region</t>
  </si>
  <si>
    <t>rubrik</t>
  </si>
  <si>
    <t>manchet</t>
  </si>
  <si>
    <t>forfatter</t>
  </si>
  <si>
    <t>debat_type</t>
  </si>
  <si>
    <t>url</t>
  </si>
  <si>
    <t>fundet_via</t>
  </si>
  <si>
    <t>status</t>
  </si>
  <si>
    <t>ny_i_denne_kørsel</t>
  </si>
  <si>
    <t>artikel_id</t>
  </si>
  <si>
    <t>debat_type_standard</t>
  </si>
  <si>
    <t>temaer</t>
  </si>
  <si>
    <t>entiteter</t>
  </si>
  <si>
    <t>historiepotentiale_score</t>
  </si>
  <si>
    <t>historiepotentiale_begrundelse</t>
  </si>
  <si>
    <t>mikroemner</t>
  </si>
  <si>
    <t>feedback_score</t>
  </si>
  <si>
    <t>feedback_label</t>
  </si>
  <si>
    <t>2026-05-29T13:44:26.470126+00:00</t>
  </si>
  <si>
    <t>29. maj 2026, 15:01</t>
  </si>
  <si>
    <t>Sjællandske Nyheder</t>
  </si>
  <si>
    <t>regional</t>
  </si>
  <si>
    <t>Sjælland</t>
  </si>
  <si>
    <t>Formand og administrerende direktør: - Vores kyster skal beskyttes bedre mod oliespild</t>
  </si>
  <si>
    <t>- Der bliver hver eneste dag sejlet enorme mængder olie igennem danske farvande, skriver Steffen Damsgaard og Anne H. Steffensen.</t>
  </si>
  <si>
    <t>Steffen Damsgaard</t>
  </si>
  <si>
    <t>Debat</t>
  </si>
  <si>
    <t>section_page</t>
  </si>
  <si>
    <t>new</t>
  </si>
  <si>
    <t/>
  </si>
  <si>
    <t>art_ae2618c1fa98</t>
  </si>
  <si>
    <t>debate</t>
  </si>
  <si>
    <t>2026-05-29T12:01:57.310812+00:00</t>
  </si>
  <si>
    <t>29. maj 2026, 12:02</t>
  </si>
  <si>
    <t>Læser: - Biogas er ikke grøn omstilling</t>
  </si>
  <si>
    <t>Hanne Clemens</t>
  </si>
  <si>
    <t>art_d44ead03358f</t>
  </si>
  <si>
    <t>klima_og_miljø</t>
  </si>
  <si>
    <t>Regional debat med national vinkel</t>
  </si>
  <si>
    <t>2026-05-29T13:44:26.733684+00:00</t>
  </si>
  <si>
    <t>29. maj 2026, 09:00</t>
  </si>
  <si>
    <t>Biolog og professor: - Sammenhængende natur kan forbedre Arresø og biodiversiteten</t>
  </si>
  <si>
    <t>- Selvom vi er mange, der værdsætter Arresøs skønhed, sandarten og det rige fugleliv, står det - ligesom i vores havområder - dårligt til under vandoverfladen, skriver Søren Mark Jensen og Kaj Sand-Jensen.</t>
  </si>
  <si>
    <t>Søren Mark Jensen</t>
  </si>
  <si>
    <t>art_ec0da7cfe79e</t>
  </si>
  <si>
    <t>2026-05-29T13:44:26.860496+00:00</t>
  </si>
  <si>
    <t>28. maj 2026, 15:01</t>
  </si>
  <si>
    <t>Folkeskoleelev: - EU skal tage ansvar for Europas sikkerhed</t>
  </si>
  <si>
    <t>- Hvis Rusland truer Europas stabilitet, eller hvis sociale medier bliver brugt til at sprede ekstremisme og falsk information, kan et land ikke løse det alene, skriver Asger Landin.</t>
  </si>
  <si>
    <t>Asgar Landin</t>
  </si>
  <si>
    <t>art_c670c0cc48e5</t>
  </si>
  <si>
    <t>velfærd, uddannelse, eu_og_udland, teknologi_og_ai, kultur_og_medier</t>
  </si>
  <si>
    <t>organisationer:EU</t>
  </si>
  <si>
    <t>Kendt aktør, Højrelevant tema, Flere temaer, Regional debat med national vinkel</t>
  </si>
  <si>
    <t>medier_politikere_og_offentlighed</t>
  </si>
  <si>
    <t>2026-05-29T13:44:26.989724+00:00</t>
  </si>
  <si>
    <t>28. maj 2026, 12:00</t>
  </si>
  <si>
    <t>Erhvervsordfører: - Lad os hylde Danmarks iværksættere, der skaber vækst</t>
  </si>
  <si>
    <t>Charlotte Bagge er erhvervsordfører for Moderaterne.</t>
  </si>
  <si>
    <t>Charlotte Bagge</t>
  </si>
  <si>
    <t>art_c2f19d476868</t>
  </si>
  <si>
    <t>politik, økonomi_og_erhverv</t>
  </si>
  <si>
    <t>partier:Moderaterne</t>
  </si>
  <si>
    <t>2026-05-29T13:44:27.119959+00:00</t>
  </si>
  <si>
    <t>27. maj 2026, 14:38</t>
  </si>
  <si>
    <t>Sjælland og øerne kan blive Danmarks stærkeste fødevareregion</t>
  </si>
  <si>
    <t>- Hvis vi virkelig vil udnytte det enorme potentiale i lokale fødevarer på Sjælland og øerne, skal der arbejdes på tværs, mener Jesper Zeihlund.</t>
  </si>
  <si>
    <t>Jesper Zeihlund</t>
  </si>
  <si>
    <t>art_6ae33d6b1d63</t>
  </si>
  <si>
    <t>arbejdsmarked, lokalsamfund_og_landdistrikter</t>
  </si>
  <si>
    <t>Flere temaer</t>
  </si>
  <si>
    <t>2026-05-29T13:44:27.245686+00:00</t>
  </si>
  <si>
    <t>24. maj 2026, 15:03</t>
  </si>
  <si>
    <t>Læser: - Vi i Norden lever blandt verdens rigeste samfund. Det glemmer vi</t>
  </si>
  <si>
    <t>- De bredeste skuldre må bære mest. Den, der forurener, må betale, skriver Kjell Nilsson.</t>
  </si>
  <si>
    <t>Kjell Nilsson</t>
  </si>
  <si>
    <t>art_eebec63f5a44</t>
  </si>
  <si>
    <t>2026-05-29T13:44:27.384152+00:00</t>
  </si>
  <si>
    <t>24. maj 2026, 12:01</t>
  </si>
  <si>
    <t>Læser reagerer på leder: - Landbruget har ikke begået noget kriminelt!</t>
  </si>
  <si>
    <t>- Landbruget har respekteret og tilpasset produktionen i henhold til den til enhver tid gældende lovgivning, skriver Søren Refslund Møller.</t>
  </si>
  <si>
    <t>Søren Refslund Møller</t>
  </si>
  <si>
    <t>art_cd767ebb963b</t>
  </si>
  <si>
    <t>klima_og_miljø, ret_og_retsstat</t>
  </si>
  <si>
    <t>Højrelevant tema, Flere temaer, Regional debat med national vinkel</t>
  </si>
  <si>
    <t>drikkevand_og_landbrug</t>
  </si>
  <si>
    <t>2026-05-29T13:44:28.134763+00:00</t>
  </si>
  <si>
    <t>23. maj 2026, 15:00</t>
  </si>
  <si>
    <t>Branchedirektør: - Det er ikke kun et problem for branchen, men et samfundsproblem</t>
  </si>
  <si>
    <t>Lars Ramme Nielsen er branchedirektør for Turisme, Kultur &amp; Oplevelse i Dansk Erhverv.</t>
  </si>
  <si>
    <t>Lars Ramme Nielsen</t>
  </si>
  <si>
    <t>art_400b4f2e7237</t>
  </si>
  <si>
    <t>kultur_og_medier, økonomi_og_erhverv</t>
  </si>
  <si>
    <t>Højrelevant tema, Flere temaer</t>
  </si>
  <si>
    <t>2026-05-29T13:44:28.255774+00:00</t>
  </si>
  <si>
    <t>23. maj 2026, 09:02</t>
  </si>
  <si>
    <t>tør: - Fortrolighed er ikke kujoneri</t>
  </si>
  <si>
    <t>- Soldaterne og lederne handlede efter ordrer under ekstremt vanskelige vilkår. Politikerne bar det overordnede politiske ansvar. Sammenligningen mellem de to roller er ikke rimelig, skriver Leif Tullberg.</t>
  </si>
  <si>
    <t>Leif Tullberg</t>
  </si>
  <si>
    <t>art_b8ff7867e338</t>
  </si>
  <si>
    <t>politik, ret_og_retsstat</t>
  </si>
  <si>
    <t>Højrelevant tema, Flere temaer, Retsstatspolitik, Regional debat med national vinkel</t>
  </si>
  <si>
    <t>2026-05-29T13:44:28.391014+00:00</t>
  </si>
  <si>
    <t>21. maj 2026, 12:03</t>
  </si>
  <si>
    <t>Bestyrelsesmedlemmer reagerer på leder: - Biogas er ikke en undskyldning - det er en nødvendighed</t>
  </si>
  <si>
    <t>Yke Kloppenburg er bestyrelsesmedlem hos Landboforening VKST.</t>
  </si>
  <si>
    <t>Yke Kloppenburg</t>
  </si>
  <si>
    <t>art_b67442302f23</t>
  </si>
  <si>
    <t>Borger mod system</t>
  </si>
  <si>
    <t>2026-05-29T13:44:28.529224+00:00</t>
  </si>
  <si>
    <t>21. maj 2026, 09:02</t>
  </si>
  <si>
    <t>Regionsrådsmedlem: - En sundhedsreform må ikke skabe ny ulighed</t>
  </si>
  <si>
    <t>- Vi skal holde fast i ambitionen om mere lighed, lyder det fra Charlotte Bagge.</t>
  </si>
  <si>
    <t>art_6dfbc48395f8</t>
  </si>
  <si>
    <t>velfærd</t>
  </si>
  <si>
    <t>Højrelevant tema, Regional debat med national vinkel</t>
  </si>
  <si>
    <t>2026-06-12T16:47:59.753667+00:00</t>
  </si>
  <si>
    <t>2026-06-12T12:00:00</t>
  </si>
  <si>
    <t>Altinget</t>
  </si>
  <si>
    <t>national</t>
  </si>
  <si>
    <t>Pia Olsen Dyhr har ikke bare udvist dårlig dømmekraft. Hun har afsløret sin kynisme</t>
  </si>
  <si>
    <t>Kommentar</t>
  </si>
  <si>
    <t>JA</t>
  </si>
  <si>
    <t>art_652b4c10e8ac</t>
  </si>
  <si>
    <t>commentary</t>
  </si>
  <si>
    <t>2026-06-12T16:48:00.244357+00:00</t>
  </si>
  <si>
    <t>2026-06-12T02:00:00</t>
  </si>
  <si>
    <t>Den nye regering emmer af luksusholdninger og kaffe på havre</t>
  </si>
  <si>
    <t>art_16b68c21778d</t>
  </si>
  <si>
    <t>politik</t>
  </si>
  <si>
    <t>Højrelevant tema</t>
  </si>
  <si>
    <t>2026-06-12T16:48:00.457835+00:00</t>
  </si>
  <si>
    <t>Kære Samira Nawa. Her er det vigtigste sted at starte efter SVM-regeringens klimafiasko</t>
  </si>
  <si>
    <t>art_8ca3e199a51a</t>
  </si>
  <si>
    <t>politik, klima_og_miljø</t>
  </si>
  <si>
    <t>2026-06-12T16:48:00.690911+00:00</t>
  </si>
  <si>
    <t>2026-06-11T05:00:00</t>
  </si>
  <si>
    <t>Når Altinget afviser AI-debatindlæg, siger de nej til et utal af stemmer, der burde få plads i spalterne</t>
  </si>
  <si>
    <t>art_97dd45054b74</t>
  </si>
  <si>
    <t>teknologi_og_ai</t>
  </si>
  <si>
    <t>organisationer:Altinget</t>
  </si>
  <si>
    <t>Konflikt/debat</t>
  </si>
  <si>
    <t>2026-06-12T16:48:00.941875+00:00</t>
  </si>
  <si>
    <t>2026-06-11T02:00:00</t>
  </si>
  <si>
    <t>Martin Geertsen: Her er fem overordnede linjer i den nye regerings sundhedspolitik</t>
  </si>
  <si>
    <t>art_7dba8680d11e</t>
  </si>
  <si>
    <t>politik, velfærd, ret_og_retsstat</t>
  </si>
  <si>
    <t>Højrelevant tema, Flere temaer, Retsstatspolitik</t>
  </si>
  <si>
    <t>2026-06-12T16:48:01.161358+00:00</t>
  </si>
  <si>
    <t>Her er, hvad der sker bag kulisserne, når et ministerium skifter hænder</t>
  </si>
  <si>
    <t>art_7c0b77502f18</t>
  </si>
  <si>
    <t>2026-06-10T13:05:48.067464+00:00</t>
  </si>
  <si>
    <t>2026-06-10T13:00:00</t>
  </si>
  <si>
    <t>Det er en ufatteligt dårlig idé, når DF vil gøre kunststøtte til et spørgsmål om politisk smag</t>
  </si>
  <si>
    <t>art_107f002419fd</t>
  </si>
  <si>
    <t>partier:Dansk Folkeparti</t>
  </si>
  <si>
    <t>2026-06-10T13:05:48.311587+00:00</t>
  </si>
  <si>
    <t>2026-06-10T02:00:00</t>
  </si>
  <si>
    <t>SoMe-ekspert: Her er de største og dygtigste fagbosser på de sociale medier</t>
  </si>
  <si>
    <t>Kronik</t>
  </si>
  <si>
    <t>art_de03af1348bd</t>
  </si>
  <si>
    <t>chronicle</t>
  </si>
  <si>
    <t>velfærd, teknologi_og_ai, kultur_og_medier</t>
  </si>
  <si>
    <t>organisationer:Fagbevægelsen</t>
  </si>
  <si>
    <t>2026-06-10T13:05:48.509220+00:00</t>
  </si>
  <si>
    <t>Forsker og konsulent: Brinkmann mistolker forskningen. Sociale medier skader børns koncentration</t>
  </si>
  <si>
    <t>art_39277bf85dfb</t>
  </si>
  <si>
    <t>personer:Svend Brinkmann</t>
  </si>
  <si>
    <t>skærme_sociale_medier_og_børn, medier_politikere_og_offentlighed</t>
  </si>
  <si>
    <t>2026-06-10T13:05:48.770412+00:00</t>
  </si>
  <si>
    <t>Rådgiver: Organisationer kan blive statister i den nye regerings afterparty på Folkemødet</t>
  </si>
  <si>
    <t>art_81c36a57c9dd</t>
  </si>
  <si>
    <t>2026-06-10T13:05:48.958797+00:00</t>
  </si>
  <si>
    <t>Er regeringens trepart for foreningslivet et løfte eller en fælde? Jeg frygter det sidste</t>
  </si>
  <si>
    <t>art_ebe5cb841492</t>
  </si>
  <si>
    <t>2026-06-10T13:05:49.146131+00:00</t>
  </si>
  <si>
    <t>2026-06-09T03:00:00</t>
  </si>
  <si>
    <t>Ligestillingsministeriet er blevet en trøstepræmie med ansvar for alt og intet</t>
  </si>
  <si>
    <t>art_9e1381a61031</t>
  </si>
  <si>
    <t>2026-06-10T13:05:49.345467+00:00</t>
  </si>
  <si>
    <t>2026-06-09T02:00:00</t>
  </si>
  <si>
    <t>Afghanistan-veteran: Løkke sendte mig i krig. Nu vil han ikke forklare hvorfor</t>
  </si>
  <si>
    <t>art_c06e276a3bf5</t>
  </si>
  <si>
    <t>personer:Lars Løkke Rasmussen</t>
  </si>
  <si>
    <t>Kendt aktør</t>
  </si>
  <si>
    <t>2026-06-10T13:05:49.540299+00:00</t>
  </si>
  <si>
    <t>Det mest påfaldende er, hvad der ikke er nævnt i regeringens børne- og skolepolitik</t>
  </si>
  <si>
    <t>art_3c6bd8d792e4</t>
  </si>
  <si>
    <t>politik, velfærd, uddannelse, ret_og_retsstat</t>
  </si>
  <si>
    <t>2026-06-10T13:05:49.716825+00:00</t>
  </si>
  <si>
    <t>Regeringsgrundlaget afslører en stille revolution i dansk sikkerhedspolitik</t>
  </si>
  <si>
    <t>art_ff784fc6e81e</t>
  </si>
  <si>
    <t>2026-06-10T13:05:49.885234+00:00</t>
  </si>
  <si>
    <t>2026-06-08T02:00:00</t>
  </si>
  <si>
    <t>Historiker: Det kan Mette Frederiksen lære af Schlüters firkløver</t>
  </si>
  <si>
    <t>art_742530bfb0be</t>
  </si>
  <si>
    <t>personer:Mette Frederiksen</t>
  </si>
  <si>
    <t>2026-06-10T13:05:50.093824+00:00</t>
  </si>
  <si>
    <t>Grønnegård: Her er tre ting, jeg lagde mærke til, da regeringen slankede ministerierne</t>
  </si>
  <si>
    <t>art_4b343264e468</t>
  </si>
  <si>
    <t>2026-06-10T13:05:50.283956+00:00</t>
  </si>
  <si>
    <t>Søren Lippert: I den nye regering er alt fra fødevarer til udlændinge blevet geopolitik</t>
  </si>
  <si>
    <t>art_1843cee87c91</t>
  </si>
  <si>
    <t>politik, udlændinge_og_integration, ret_og_retsstat</t>
  </si>
  <si>
    <t>2026-06-10T13:05:50.460667+00:00</t>
  </si>
  <si>
    <t>Professor: Lægestandens tabu om vacciners bivirkninger er både fattigt og farligt</t>
  </si>
  <si>
    <t>art_d497ddc8abd5</t>
  </si>
  <si>
    <t>2026-06-10T13:05:50.652633+00:00</t>
  </si>
  <si>
    <t>2026-06-07T02:00:00</t>
  </si>
  <si>
    <t>Regeringsgrundlaget afslører, at det kristne Danmark er blevet et blåt projekt</t>
  </si>
  <si>
    <t>art_befd478808a5</t>
  </si>
  <si>
    <t>løkke_og_regeringsspil</t>
  </si>
  <si>
    <t>2026-06-10T13:05:50.841235+00:00</t>
  </si>
  <si>
    <t>2026-06-06T02:00:00</t>
  </si>
  <si>
    <t>Radikale har før sejret ad helvede til. Nu skal Lidegaard stå den store test</t>
  </si>
  <si>
    <t>art_59e381007b33</t>
  </si>
  <si>
    <t>partier:Radikale Venstre</t>
  </si>
  <si>
    <t>2026-06-10T13:05:51.037951+00:00</t>
  </si>
  <si>
    <t>2026-06-05T02:00:00</t>
  </si>
  <si>
    <t>Bertel Haarder: Det er tæt på blasfemisk at kalde det firkløverregeringen</t>
  </si>
  <si>
    <t>art_91bc67faa45e</t>
  </si>
  <si>
    <t>2026-05-29T13:42:10.695860+00:00</t>
  </si>
  <si>
    <t>2026-05-29T15:05:00Z</t>
  </si>
  <si>
    <t>Avisen Danmark</t>
  </si>
  <si>
    <t>Hvis du er borgerlig, er de næste år op ad bakke. En stigning næsten uden for kategori</t>
  </si>
  <si>
    <t>art_f6a5eae4ce54</t>
  </si>
  <si>
    <t>2026-05-29T13:42:11.856503+00:00</t>
  </si>
  <si>
    <t>Hvis du vil være partileder, kan du starte hos stylisten</t>
  </si>
  <si>
    <t>Arkivfoto: Søren Bidstrup/Ritzau Scanpix</t>
  </si>
  <si>
    <t>Kenneth Grothe Toustrup, kommunikationsrådgiver, RelationsPeople</t>
  </si>
  <si>
    <t>Klumme</t>
  </si>
  <si>
    <t>art_a482b0b7a9d8</t>
  </si>
  <si>
    <t>2026-05-29T13:42:12.870719+00:00</t>
  </si>
  <si>
    <t>Fortællingen om de efterladte mænd er for simpel</t>
  </si>
  <si>
    <t>Trine Bramsen (S), MF. Pressefoto: Marie Hald</t>
  </si>
  <si>
    <t>Trine Bramsen, MF, Socialdemokratiet</t>
  </si>
  <si>
    <t>Læserbrev</t>
  </si>
  <si>
    <t>art_779dc438127b</t>
  </si>
  <si>
    <t>letter</t>
  </si>
  <si>
    <t>kultur_og_medier</t>
  </si>
  <si>
    <t>2026-05-29T13:42:13.814647+00:00</t>
  </si>
  <si>
    <t>USA forhandler nu betingelserne for sit nederlag i Golfen</t>
  </si>
  <si>
    <t>Foto fra Hormuz-strædet: Stringer/Reuters/Ritzau Scanpix</t>
  </si>
  <si>
    <t>Jørgen Jelstrup, Oberst emeritus, Morelvej 243, Odense</t>
  </si>
  <si>
    <t>art_3e2d058ac1b5</t>
  </si>
  <si>
    <t>eu_og_udland</t>
  </si>
  <si>
    <t>2026-05-29T13:42:14.908658+00:00</t>
  </si>
  <si>
    <t>Gør nu noget ved det: Gigten stjæler årligt 33.000 årsværk</t>
  </si>
  <si>
    <t>Mette Bryde Lind, direktør for Gigtforeningen. Pressefoto</t>
  </si>
  <si>
    <t>Mette Bryde Lind, direktør i Gigtforeningen</t>
  </si>
  <si>
    <t>art_b66240f1b3fe</t>
  </si>
  <si>
    <t>2026-05-29T13:42:15.883944+00:00</t>
  </si>
  <si>
    <t>Sebastian Dorset: Når det igen går galt i det offentlige</t>
  </si>
  <si>
    <t>Tegning: Lean Poulsen Frosch</t>
  </si>
  <si>
    <t>Komiker Sebastian Dorset</t>
  </si>
  <si>
    <t>art_88626434c8fd</t>
  </si>
  <si>
    <t>2026-05-29T13:42:16.872482+00:00</t>
  </si>
  <si>
    <t>Der er brug for en national task force for naturpleje</t>
  </si>
  <si>
    <t>Foto: Bo Amstrup/Ritzau Scanpix</t>
  </si>
  <si>
    <t>Anders Kjær, formand for Familielandbruget, Landbrug &amp; Fødevarer, og Jesper Arnth, formand i L&amp;F Sektor for Kvæg</t>
  </si>
  <si>
    <t>art_ade4e6ccb420</t>
  </si>
  <si>
    <t>2026-05-29T13:42:17.793235+00:00</t>
  </si>
  <si>
    <t>AL Sydbank: ECB frygter fortiden – men problemet er ikke lønningerne</t>
  </si>
  <si>
    <t>Arkivfoto: Swen Pfoertner/Pool/Reuters/Ritzau Scanpix</t>
  </si>
  <si>
    <t>Kim Blindbæk, seniorøkonom i AL Sydbank</t>
  </si>
  <si>
    <t>art_308fa379685c</t>
  </si>
  <si>
    <t>arbejdsmarked, eu_og_udland</t>
  </si>
  <si>
    <t>2026-05-29T13:42:19.047463+00:00</t>
  </si>
  <si>
    <t>Flere raske år kræver en folkesundhedslov i regeringsgrundlaget</t>
  </si>
  <si>
    <t>22 skribenter</t>
  </si>
  <si>
    <t>art_2f639cecdf0f</t>
  </si>
  <si>
    <t>2026-05-29T13:42:20.209652+00:00</t>
  </si>
  <si>
    <t>Jeg drømmer om en madkultur, vi kan være stolte af</t>
  </si>
  <si>
    <t>Lucas Møller Larsen, klima-, natur- og miljøordfører for Konservativ Ungdom. Pressefoto</t>
  </si>
  <si>
    <t>Lucas Møller Larsen, klima-, natur- og miljøordfører for Konservativ Ungdom</t>
  </si>
  <si>
    <t>art_0b35847c566a</t>
  </si>
  <si>
    <t>politik, klima_og_miljø, kultur_og_medier</t>
  </si>
  <si>
    <t>Konflikt/debat, Højrelevant tema, Flere temaer</t>
  </si>
  <si>
    <t>2026-05-29T13:42:21.276847+00:00</t>
  </si>
  <si>
    <t>Borgmester: Als-Fyn-forbindelsen kan reducere flaskehalse</t>
  </si>
  <si>
    <t>Indlægget er skrevet af borgmester i Sønderborg Kommune, Erik Lauritzen (S). Arkivfoto: Timo Battefeld/JFM</t>
  </si>
  <si>
    <t>Erik Lauritzen (S), borgmester i Sønderborg Kommune</t>
  </si>
  <si>
    <t>art_d2abee3ab7fa</t>
  </si>
  <si>
    <t>politik, velfærd</t>
  </si>
  <si>
    <t>Velfærdsstatens grænser, Højrelevant tema, Flere temaer</t>
  </si>
  <si>
    <t>2026-05-29T13:42:22.282473+00:00</t>
  </si>
  <si>
    <t>Regeringsforhandlinger: Egoistiske særstandpunkter må lægges til side</t>
  </si>
  <si>
    <t>Arkivfoto: Mads Claus Rasmussen/Ritzau Scanpix</t>
  </si>
  <si>
    <t>Svend Åge Kjærsgaard Møller, Grønlandsparken 30A, Esbjerg</t>
  </si>
  <si>
    <t>art_37d410fed81c</t>
  </si>
  <si>
    <t>2026-05-29T13:42:23.272767+00:00</t>
  </si>
  <si>
    <t>DM: Ny regering skal gøre op med stress og grænseløst arbejdsliv</t>
  </si>
  <si>
    <t>Janne Gleerup, forperson i DM. Pressefoto</t>
  </si>
  <si>
    <t>Janne Gleerup, forperson i DM</t>
  </si>
  <si>
    <t>art_863cf3c49c66</t>
  </si>
  <si>
    <t>politik, kultur_og_medier</t>
  </si>
  <si>
    <t>2026-05-29T13:42:24.310873+00:00</t>
  </si>
  <si>
    <t>Millioner af bilejere skal kunne sove trygt om natten</t>
  </si>
  <si>
    <t>Arkivfoto: Michael Bager/JFM</t>
  </si>
  <si>
    <t>Hans Kristian Skibby, MF, Danmarksdemokraterne og Gitte Seeberg, adm. direktør for AutoBranchen Danmark</t>
  </si>
  <si>
    <t>art_e758238ae6c9</t>
  </si>
  <si>
    <t>2026-05-29T13:42:25.330432+00:00</t>
  </si>
  <si>
    <t>Stop med at grave fremtidens klima op af jorden</t>
  </si>
  <si>
    <t>Caitlin Margaret Singleton, adjunkt på Institut for Kemi og Biovidenskab på Aalborg Universitet. Pressefoto: Lasse Møller Badstue/Aalborg Universitet</t>
  </si>
  <si>
    <t>Caitlin Margaret Singleton, adjunkt på Institut for Kemi og Biovidenskab på Aalborg Universitet</t>
  </si>
  <si>
    <t>art_ffa1ce3de4a6</t>
  </si>
  <si>
    <t>klima_og_miljø, uddannelse, teknologi_og_ai, kultur_og_medier</t>
  </si>
  <si>
    <t>Konflikt/debat, Flere temaer</t>
  </si>
  <si>
    <t>2026-05-29T13:42:26.353336+00:00</t>
  </si>
  <si>
    <t>Inger Støjberg fortryder intet - og det burde skræmme os</t>
  </si>
  <si>
    <t>Inge Støjberg. Arkivfoto: Michael Bager/JFM</t>
  </si>
  <si>
    <t>Tommy Søndergaard, Stubmøllen 8 Varde</t>
  </si>
  <si>
    <t>art_51d03f0c1a77</t>
  </si>
  <si>
    <t>2026-05-29T13:42:27.437823+00:00</t>
  </si>
  <si>
    <t>Vores kyster skal beskyttes bedre mod oliespild</t>
  </si>
  <si>
    <t>Steffen Damsgaard, formand for Landdistrikternes Fællesråd. Pressefoto</t>
  </si>
  <si>
    <t>Steffen Damsgaard, formand for Landdistrikternes Fællesråd, og Anne H. Steffensen, adm. direktør i Danske Rederier</t>
  </si>
  <si>
    <t>art_350106b59c6a</t>
  </si>
  <si>
    <t>kultur_og_medier, lokalsamfund_og_landdistrikter</t>
  </si>
  <si>
    <t>2026-05-29T13:42:28.533090+00:00</t>
  </si>
  <si>
    <t>Det, vi bærer videre i livet</t>
  </si>
  <si>
    <t>Andreas Vetö. Pressefoto: Dan Henrik Møller</t>
  </si>
  <si>
    <t>Andreas Vetö, kulturiværksætter, dirigent og bestyrelsesleder i Alle Kan Synge</t>
  </si>
  <si>
    <t>art_63c86d259cca</t>
  </si>
  <si>
    <t>2026-05-29T13:42:29.628565+00:00</t>
  </si>
  <si>
    <t>Mærsk om TV2-dokumentar: Misbrug af de globale forsyningskæder kan kun løses i samarbejde</t>
  </si>
  <si>
    <t>Niels Bruus, Sikkerhedschef, A.P. Møller - Mærsk</t>
  </si>
  <si>
    <t>art_838d597e1f40</t>
  </si>
  <si>
    <t>klima_og_miljø, arbejdsmarked</t>
  </si>
  <si>
    <t>2026-05-29T13:42:30.649612+00:00</t>
  </si>
  <si>
    <t>3F: Den usynlige dræber har delt Danmark i to</t>
  </si>
  <si>
    <t>Arkivfoto: Morten Pape/JFM</t>
  </si>
  <si>
    <t>Lene Krabbe Dahl, forbundssekretær i 3F og Claus von Elling, formand for 3F’s Byggegruppe</t>
  </si>
  <si>
    <t>art_9142cda7bf7f</t>
  </si>
  <si>
    <t>2026-05-29T13:42:31.889434+00:00</t>
  </si>
  <si>
    <t>Sådan blev pension allemandseje i Danmark</t>
  </si>
  <si>
    <t>Martin Præstegaard, administrerende direktør, ATP. Pressefoto</t>
  </si>
  <si>
    <t>Martin Præstegaard, adm. direktør i ATP</t>
  </si>
  <si>
    <t>art_3ff4c4c0629a</t>
  </si>
  <si>
    <t>2026-05-29T13:42:32.979795+00:00</t>
  </si>
  <si>
    <t>Fagforbund: Derfor har vi indledt konflikt mod Davidsens Landbrug</t>
  </si>
  <si>
    <t>Genrefoto: Sebastian Elias Uth/Ritzau Scanpix</t>
  </si>
  <si>
    <t>8 fagforbund</t>
  </si>
  <si>
    <t>art_7cb594aa61e7</t>
  </si>
  <si>
    <t>2026-05-29T13:42:34.010223+00:00</t>
  </si>
  <si>
    <t>Kollektiv trafik i international topklasse</t>
  </si>
  <si>
    <t>Genrefoto: Emil Nicolai Helms/Ritzau Scanpix</t>
  </si>
  <si>
    <t>Kurt Nielsen, Møllevejen 27, Aarhus</t>
  </si>
  <si>
    <t>art_c2fbf47574d6</t>
  </si>
  <si>
    <t>eu_og_udland, teknologi_og_ai</t>
  </si>
  <si>
    <t>2026-05-29T13:42:35.359495+00:00</t>
  </si>
  <si>
    <t>Svækkede ældre og syge har brug for den rette ernæring</t>
  </si>
  <si>
    <t>Ghita Parry, formand for Kost og Ernæringsforbundet. Pressefoto</t>
  </si>
  <si>
    <t>Ghita Parry, formand, Kost og Ernæringsforbundet</t>
  </si>
  <si>
    <t>art_87f1c7b145cb</t>
  </si>
  <si>
    <t>politik, velfærd, kultur_og_medier</t>
  </si>
  <si>
    <t>Velfærdsstatens grænser, Konflikt/debat, Højrelevant tema, Flere temaer</t>
  </si>
  <si>
    <t>2026-05-29T13:42:36.446207+00:00</t>
  </si>
  <si>
    <t>Er man yderliggående lobbyist, blot fordi man fortæller sandheden om landbruget?</t>
  </si>
  <si>
    <t>Peter Bohsen Jensen, Juelsminde. Pressefoto</t>
  </si>
  <si>
    <t>Peter Bohsen Jensen, Bygaden 25, Rårup, Juelsminde</t>
  </si>
  <si>
    <t>art_ea920dfb965e</t>
  </si>
  <si>
    <t>klima_og_miljø, kultur_og_medier</t>
  </si>
  <si>
    <t>2026-05-29T13:42:37.424882+00:00</t>
  </si>
  <si>
    <t>Hatten af for grønlænderne - de viste, at de ikke er til salg for slesk tale og chokolademønter</t>
  </si>
  <si>
    <t>art_e4200c0c20fd</t>
  </si>
  <si>
    <t>2026-05-29T13:42:38.404430+00:00</t>
  </si>
  <si>
    <t>Når forældre-barn relationen er præget af vold, skal hjælpen være tilgængelig – for begge</t>
  </si>
  <si>
    <t>Elsebeth Kirk Muff, direktør, Lev Uden Vold og Jette Wilhelmsen, leder, Joannahuset</t>
  </si>
  <si>
    <t>art_f52b95afaebc</t>
  </si>
  <si>
    <t>Velfærdsstatens grænser, Højrelevant tema</t>
  </si>
  <si>
    <t>2026-05-29T13:42:39.315562+00:00</t>
  </si>
  <si>
    <t>Kontrol uden proportioner svækker virksomhedernes tillid til myndighederne</t>
  </si>
  <si>
    <t>Christian Borrisholt Steen, politisk seniorkonsulent, Arbejdsgiverforeningen KA. Pressefoto: Jesper Voldgaard</t>
  </si>
  <si>
    <t>Christian Borrisholt Steen, politisk seniorkonsulent, Arbejdsgiverforeningen KA</t>
  </si>
  <si>
    <t>art_9bbf0d2aed8b</t>
  </si>
  <si>
    <t>arbejdsmarked, kultur_og_medier, økonomi_og_erhverv, ret_og_retsstat</t>
  </si>
  <si>
    <t>Kritik af formynderi, Borger mod system, Konflikt/debat, Højrelevant tema, Flere temaer</t>
  </si>
  <si>
    <t>2026-05-29T13:42:40.402784+00:00</t>
  </si>
  <si>
    <t>Får du en reel værdi for dine skattekroner?</t>
  </si>
  <si>
    <t>Genrefoto: Michael Bager/JFM</t>
  </si>
  <si>
    <t>6 medlemmer af Liberal Alliances Ungdom</t>
  </si>
  <si>
    <t>art_6e423482a049</t>
  </si>
  <si>
    <t>økonomi_og_erhverv</t>
  </si>
  <si>
    <t>Skat/afgifter, Højrelevant tema</t>
  </si>
  <si>
    <t>2026-05-29T13:43:07.300575+00:00</t>
  </si>
  <si>
    <t>2026-05-29T14:30:00+02:00</t>
  </si>
  <si>
    <t>Fyens Stiftstidende</t>
  </si>
  <si>
    <t>Fyn</t>
  </si>
  <si>
    <t>Efter nye afsløringer: Derfor er sagen om gangbro over letbanen så alvorlig</t>
  </si>
  <si>
    <t>Oplysninger fra Trafikstyrelsen fastslår, at understøtningen af gangbroen er vigtig. Den blev genetableret sidste år, efter at målinger viste større bøjning af konstruktionen end forventet. Derfor har understøtningen været en del af grundlaget for den tilladelse, som letbanen har kørt på.</t>
  </si>
  <si>
    <t>Leder</t>
  </si>
  <si>
    <t>art_090648fd06ee</t>
  </si>
  <si>
    <t>2026-05-29T13:42:40.857233+00:00</t>
  </si>
  <si>
    <t>2026-05-29T14:00:00+02:00</t>
  </si>
  <si>
    <t>Århus Stiftstidende</t>
  </si>
  <si>
    <t>Østjylland</t>
  </si>
  <si>
    <t>Dobbeltstuer i psykiatrien: Jeg møder patienter, som er bange for at gå til ro om aftenen</t>
  </si>
  <si>
    <t>"Det er en urimelig og belastende situation at skulle sove side om side med en fremmed, som de ikke kender", skriver Grethe Degn. Foto: Alberte Kaltoft</t>
  </si>
  <si>
    <t>Grethe Degn, Hammel, patientrådgiver</t>
  </si>
  <si>
    <t>art_c49223ba809f</t>
  </si>
  <si>
    <t>2026-05-29T13:41:50.177392+00:00</t>
  </si>
  <si>
    <t>2026-05-29T13:14:27.678668+00:00</t>
  </si>
  <si>
    <t>Nordjyske</t>
  </si>
  <si>
    <t>Nordjylland</t>
  </si>
  <si>
    <t>AaB-fan: “Det hele står og falder med et tysk exit”</t>
  </si>
  <si>
    <t>Efter en sæson med nedrykningsspil i 1. division er optimismen blandt AaB-fans ved at slippe op.</t>
  </si>
  <si>
    <t>Rasmus Lund</t>
  </si>
  <si>
    <t>art_4949e541e0be</t>
  </si>
  <si>
    <t>2026-05-29T13:42:00.492036+00:00</t>
  </si>
  <si>
    <t>2026-05-29T11:25:37+00:00</t>
  </si>
  <si>
    <t>Berlingske</t>
  </si>
  <si>
    <t>Farlige kræfter slippes løs, når ingen sidder på magten – men i de her uger kan danskerne lære noget af færingerne</t>
  </si>
  <si>
    <t>Ligesom vi kan lære spektakulær national selvglæde af Norge, kan vi også lære af Færøerne: At lave og opføre folkelige kvad om dybe sandheder, skriver Katja Kvaale.</t>
  </si>
  <si>
    <t>art_3bcd928e52d2</t>
  </si>
  <si>
    <t>2026-05-29T13:42:09.708268+00:00</t>
  </si>
  <si>
    <t>2026-05-29T11:05:00Z</t>
  </si>
  <si>
    <t>Karsten Hønge: Når fællesskabet bliver for billigt, bliver regningen høj</t>
  </si>
  <si>
    <t>Karsten Hønge (SF). Foto: Michael Bager/JFM</t>
  </si>
  <si>
    <t>Karsten Hønge, MF for SF</t>
  </si>
  <si>
    <t>art_95323d17e9a0</t>
  </si>
  <si>
    <t>2026-05-29T13:42:41.026578+00:00</t>
  </si>
  <si>
    <t>2026-05-29T10:00:00+02:00</t>
  </si>
  <si>
    <t>Når unge ikke kan sove, hjælper det ikke kun at sige: Læg telefonen væk</t>
  </si>
  <si>
    <t>"Mange unge lever i dag med et konstant indre alarmberedskab", skriver David B. R. Camacho. Arkivfoto: Mads Claus Rasmussen/Ritzau Scanpix</t>
  </si>
  <si>
    <t>David B. R. Camacho, Højbjerg, næstformand i Foreningen af Danske Psykoterapeuter</t>
  </si>
  <si>
    <t>art_2fd17408ce33</t>
  </si>
  <si>
    <t>2026-05-29T13:42:00.605736+00:00</t>
  </si>
  <si>
    <t>2026-05-29T08:34:44+00:00</t>
  </si>
  <si>
    <t>Intersektionalitet er ikke en trosbekendelse</t>
  </si>
  <si>
    <t>En kritik, der ikke vil læse det, den angriber, er ikke et forsvar for fri forskning. Den er en politisk kulturkamp forklædt som bekymring for universitetet, skriver Michael Nebeling Petersen, lektor i kønsforskning, i en kritisk replik til Aminata Corr Thrane.</t>
  </si>
  <si>
    <t>art_6a5c2887e54d</t>
  </si>
  <si>
    <t>politik, uddannelse, kultur_og_medier, ret_og_retsstat</t>
  </si>
  <si>
    <t>Værdikamp, Konflikt/debat, Højrelevant tema, Flere temaer, Retsstatspolitik</t>
  </si>
  <si>
    <t>2026-05-29T13:43:08.476464+00:00</t>
  </si>
  <si>
    <t>2026-05-29T08:00:00+02:00</t>
  </si>
  <si>
    <t>Fynsk gigant har taget en ret vild beslutning om affald: Derfor er det en fremragende idé</t>
  </si>
  <si>
    <t>Marius Pedersen har planer om at sælge sine aktiviteter i Tjekkiet og Slovakiet. Arkivfoto: Morten Rode</t>
  </si>
  <si>
    <t>art_917170bc0c03</t>
  </si>
  <si>
    <t>ret_og_retsstat</t>
  </si>
  <si>
    <t>2026-05-29T13:42:41.200738+00:00</t>
  </si>
  <si>
    <t>2026-05-29T07:43:00+02:00</t>
  </si>
  <si>
    <t>Stakkels Fritz – hverken han eller nationalbanken kunne regne den ud</t>
  </si>
  <si>
    <t>Fritz bærer rundt på 92.000 kroner i gamle sedler, og dem vil han naturligvis gerne have forvandlet til en pæn opsparing på sin bankkonto. Foto: Oliver Agretoft Sørensen</t>
  </si>
  <si>
    <t>art_cc4d5ea65488</t>
  </si>
  <si>
    <t>2026-05-29T13:41:50.388544+00:00</t>
  </si>
  <si>
    <t>2026-05-29T06:43:31.367457+00:00</t>
  </si>
  <si>
    <t>Aalborgs kamp for rent drikkevand fortsætter</t>
  </si>
  <si>
    <t>Dette er et debatindlæg. Indlægget er udtryk for skribentens egen holdning.</t>
  </si>
  <si>
    <t>Rosa Sulaiman</t>
  </si>
  <si>
    <t>art_9220b35e6a6e</t>
  </si>
  <si>
    <t>Frit valg/liberale værdier, Regional debat med national vinkel</t>
  </si>
  <si>
    <t>2026-05-29T13:42:00.895622+00:00</t>
  </si>
  <si>
    <t>2026-05-29T04:30:59+00:00</t>
  </si>
  <si>
    <t>Frederiksberg-politiker er træt af »luksusbiler«, der optager p-pladser i byen: Hvor er respekten?</t>
  </si>
  <si>
    <t>Om kort tid skal vi på Frederiksberg igen forhandle et nyt parkeringsforlig. Vi bør skelne mellem biler, der er »luksus«, og biler, der er »nødvendige« i de store byer.</t>
  </si>
  <si>
    <t>art_baa7a5cdfb00</t>
  </si>
  <si>
    <t>2026-05-29T13:41:43.145492+00:00</t>
  </si>
  <si>
    <t>2026-05-29T02:00:00</t>
  </si>
  <si>
    <t>Højrefløjen er uenige om alt fra industri til klima. Derfor er det absurd at tale om blå blok</t>
  </si>
  <si>
    <t>art_22f36d89c21f</t>
  </si>
  <si>
    <t>2026-05-29T13:41:50.588840+00:00</t>
  </si>
  <si>
    <t>2026-05-28T22:00:46.200066+00:00</t>
  </si>
  <si>
    <t>Klumme: Forfatter Mads Nygaard begyndte sin slankekur med kaffe og chokolade</t>
  </si>
  <si>
    <t>105 kilo på vægten bliver et wakeupcall for forfatter Mads Nygaard. 🚴☕🍫Det starter som en slankekur. Men hurtigt bliver det også et opgør med forfængelighed, gamle vaner og forestillingen om, hvem man egentlig er.På cykelturen mod et lettere liv venter både kaffe, chokolade og fristelser undervejs – og spørgsmålet er, om kursen kan holdes hele vejen fra Tornby IF til Tour De Slankekær.Læs Mads Nygaards selvironiske og ærlige klumme her 👇</t>
  </si>
  <si>
    <t>Mads Nygaard</t>
  </si>
  <si>
    <t>art_0e668143f5d8</t>
  </si>
  <si>
    <t>2026-05-29T13:42:01.075605+00:00</t>
  </si>
  <si>
    <t>2026-05-28T19:31:56+00:00</t>
  </si>
  <si>
    <t>Den nuværende politiske situation giver næring til politikerleden</t>
  </si>
  <si>
    <t>art_b873eb165153</t>
  </si>
  <si>
    <t>2026-05-29T13:41:46.834861+00:00</t>
  </si>
  <si>
    <t>2026-05-28T19:09:15+02:00</t>
  </si>
  <si>
    <t>Information</t>
  </si>
  <si>
    <t>Georg Metz: ’Ambassador in diguise’</t>
  </si>
  <si>
    <t>Folk fra Trumps gennemkorrupte cirkus må leve på en gusten planet i et tomt univers</t>
  </si>
  <si>
    <t>Georg Metz</t>
  </si>
  <si>
    <t>Debatindlæg</t>
  </si>
  <si>
    <t>art_ba1c8a205f5b</t>
  </si>
  <si>
    <t>2026-05-29T13:41:46.921261+00:00</t>
  </si>
  <si>
    <t>2026-05-28T19:08:21+02:00</t>
  </si>
  <si>
    <t>Titusinder af solopreppere udgør ikke et modstandsdygtigt samfund</t>
  </si>
  <si>
    <t>Vores beredskabsdebat fokuserer for meget på den enkelte borgers vandlager og for lidt på det lokale naboskab. Hvis vi skal klare fremtidens kriser, må vi investere mere i vores sociale infrastruktur</t>
  </si>
  <si>
    <t>Andreas Hagedorn Krogh</t>
  </si>
  <si>
    <t>art_e2268b482cbb</t>
  </si>
  <si>
    <t>velfærd, lokalsamfund_og_landdistrikter</t>
  </si>
  <si>
    <t>Borger mod system, Konflikt/debat, Højrelevant tema, Flere temaer</t>
  </si>
  <si>
    <t>2026-05-29T13:41:47.000356+00:00</t>
  </si>
  <si>
    <t>2026-05-28T19:07:45+02:00</t>
  </si>
  <si>
    <t>Venstrefløjens plads i idédebatten er nok en smule kedelig – men den taber ikke</t>
  </si>
  <si>
    <t>Mathias Dressler-Bredsdorff savner oprøret på venstrefløjen, men idédebatten kan ikke reduceres til oprør alene. Venstrefløjens ideer får rodfæste på Christiansborg. Derfor udebliver oprøret</t>
  </si>
  <si>
    <t>Mathias Fallesen</t>
  </si>
  <si>
    <t>art_1c51d3667ecb</t>
  </si>
  <si>
    <t>partier:Venstre</t>
  </si>
  <si>
    <t>Kendt aktør, Konflikt/debat, Højrelevant tema</t>
  </si>
  <si>
    <t>2026-05-29T13:41:47.193380+00:00</t>
  </si>
  <si>
    <t>2026-05-28T19:06:47+02:00</t>
  </si>
  <si>
    <t>Kære kommende regering: Glem ikke alle os, der stadig venter på en bedre psykiatri</t>
  </si>
  <si>
    <t>Den kommende regering skal prioritere, opruste og spare. Men psykiatrien må ikke blive syltet i den proces. Jeg vil gerne slå et slag for en psykiatriplan 2</t>
  </si>
  <si>
    <t>Anna Juul</t>
  </si>
  <si>
    <t>art_2e06298d3808</t>
  </si>
  <si>
    <t>2026-05-29T13:41:47.284431+00:00</t>
  </si>
  <si>
    <t>2026-05-28T19:06:35+02:00</t>
  </si>
  <si>
    <t>Det er en ideologisk begivenhed, at USA og Israel ville have Ahmedinejad som leder af Iran</t>
  </si>
  <si>
    <t>Det er logisk, at Trump og Netanyahu var modstandere af Irans islamopopulistiske præsident Ahmedinejad i den gamle verden. Men lige så logisk, at de er allierede i den nye verden</t>
  </si>
  <si>
    <t>Rune Lykkeberg</t>
  </si>
  <si>
    <t>art_c3c31d2c7fd9</t>
  </si>
  <si>
    <t>2026-05-29T13:42:42.340007+00:00</t>
  </si>
  <si>
    <t>2026-05-28T19:00:00+02:00</t>
  </si>
  <si>
    <t>Jeg købte for 250 kroner slik - og skulle stå til regnskab</t>
  </si>
  <si>
    <t>"Det kan lyde som en bagatel, men sagen rummer et principielt spørgsmål om den måde, vi styrer og kontrollerer folkeskolen i Aarhus", skriver Martin Christensen. Modelfoto: Liselotte Sabroe/Ritzau Scanpix</t>
  </si>
  <si>
    <t>Martin Christensen, skoleleder og medlem af Aarhus Byråd for Venstre</t>
  </si>
  <si>
    <t>art_6e55f2357c50</t>
  </si>
  <si>
    <t>uddannelse</t>
  </si>
  <si>
    <t>Kritik af formynderi, Konflikt/debat</t>
  </si>
  <si>
    <t>2026-05-29T13:42:01.368669+00:00</t>
  </si>
  <si>
    <t>2026-05-28T18:32:20+00:00</t>
  </si>
  <si>
    <t>Trump-administrationen er gennemsyret af økonomisk snusk</t>
  </si>
  <si>
    <t>Magthavere har altid sammenblandet politik og privatøkonomiske interesser. Men i Trumps anden præsidentperiode sker det i USA nu i en sådan grad, at anklager om korruption og magtmisbrug er blevet hverdag, skriver Peter Kurrild-Klitgaard.</t>
  </si>
  <si>
    <t>art_0c9e40a691a2</t>
  </si>
  <si>
    <t>eu_og_udland, økonomi_og_erhverv, ret_og_retsstat</t>
  </si>
  <si>
    <t>2026-05-29T13:42:09.381844+00:00</t>
  </si>
  <si>
    <t>2026-05-28T17:30:00+00:00</t>
  </si>
  <si>
    <t>Kristeligt Dagblad</t>
  </si>
  <si>
    <t>Geeti Amiri: Hvad siger det egentlig ikke om de blås desperation efter magten, at de ville gøre sig afhængige af syndebukken Løkke?</t>
  </si>
  <si>
    <t>Blå blok består af partier, der bruger mere tid på at bekrige hinanden, konkurrere om Facebook-vrede og lave symbolske kulturkampe end på faktisk at ligne nogen, der kan drive en regering, mener Geeti Amiri Kjær</t>
  </si>
  <si>
    <t>Geeti Amiri</t>
  </si>
  <si>
    <t>art_cc1cb6512467</t>
  </si>
  <si>
    <t>Værdikamp, Kendt aktør, Højrelevant tema, Flere temaer</t>
  </si>
  <si>
    <t>2026-05-29T13:42:08.695857+00:00</t>
  </si>
  <si>
    <t>2026-05-28T17:15:00+00:00</t>
  </si>
  <si>
    <t>Forbøn fjernede ikke mine smerter. Kirken må kunne rumme mennesker uden den glade afslutning</t>
  </si>
  <si>
    <t>kronik | Han har taget imod forbøn og håbet. Han har forsøgt at være åben for Helligånden. Og alligevel er smerterne der, skriver Peter Kjær Flyvholm</t>
  </si>
  <si>
    <t>Peter Kjær Flyvholm</t>
  </si>
  <si>
    <t>art_e9683f4bdf7a</t>
  </si>
  <si>
    <t>2026-05-29T13:42:01.607348+00:00</t>
  </si>
  <si>
    <t>2026-05-28T17:02:22+00:00</t>
  </si>
  <si>
    <t>Dødsboet er gjort op – og det viser en grum sandhed</t>
  </si>
  <si>
    <t>Det Demokratiske Parti har gjort dødsboet op efter valget i 2024. Konklusionerne viser, at man aldrig skal undervurdere Demokraternes evne til at forkludre alting, skriver Birgitte Borup i nyhedsbrevet »For Tiden«.</t>
  </si>
  <si>
    <t>art_3e3b51c5d9ee</t>
  </si>
  <si>
    <t>2026-05-29T13:42:01.660788+00:00</t>
  </si>
  <si>
    <t>2026-05-28T16:52:58+00:00</t>
  </si>
  <si>
    <t>I krisetid er der brug for flere danske fødevarer – ikke færre</t>
  </si>
  <si>
    <t>Nogle politiske partier ønsker at begrænse den animalske produktion. Det er det stik modsatte, der er behov for.</t>
  </si>
  <si>
    <t>art_57f892f60fcf</t>
  </si>
  <si>
    <t>Konflikt/debat, Højrelevant tema, Flere temaer, Retsstatspolitik</t>
  </si>
  <si>
    <t>2026-05-29T13:42:01.922751+00:00</t>
  </si>
  <si>
    <t>2026-05-28T15:21:08+00:00</t>
  </si>
  <si>
    <t>En ny regering nærmer sig, og derfor lyder det afgørende spørgsmål: Får Danmark en duelig opposition?</t>
  </si>
  <si>
    <t>Folketinget skal have ny formand ved indgangen til det nye folketingsår i oktober. Uanset hvem det bliver, vil det være en god anledning til at sætte sig i spidsen for en modernisering af Folketingets kontrolopgaver. På den lange bane vil det være med til at styrke demokratiet.</t>
  </si>
  <si>
    <t>art_94687646809f</t>
  </si>
  <si>
    <t>organisationer:Folketinget</t>
  </si>
  <si>
    <t>Kritik af formynderi, Kendt aktør, Konflikt/debat, Højrelevant tema</t>
  </si>
  <si>
    <t>2026-05-29T13:42:02.177169+00:00</t>
  </si>
  <si>
    <t>2026-05-28T14:51:30+00:00</t>
  </si>
  <si>
    <t>De frie grundskoler kan være en del af løsningen på folkeskolens udfordringer</t>
  </si>
  <si>
    <t>Folkeskolens udfordringer er blevet flittigt diskuteret i valgkampen. Men det giver ikke mening at diskutere uden at se på de frie grundskoler, når hver femte skoleelev i dag går på en fri grundskole.</t>
  </si>
  <si>
    <t>art_b9cfdca995e2</t>
  </si>
  <si>
    <t>politik, uddannelse</t>
  </si>
  <si>
    <t>2026-05-29T13:42:02.401096+00:00</t>
  </si>
  <si>
    <t>2026-05-28T14:32:46+00:00</t>
  </si>
  <si>
    <t>Berlingske mener: Lars Løkkes røde regering er det rene gift for børsmarkedet</t>
  </si>
  <si>
    <t>Børstørken endte med at vare blot 13 dage mindre end hele SMV-regeringens levetid. Fiskefodergigantgen BioMar kom torsdag på børsen midt i forhandlingerne om en rød regering, som vil være dybt skadelig for børskulturen i Danmark.</t>
  </si>
  <si>
    <t>art_6471e85f9632</t>
  </si>
  <si>
    <t>Kendt aktør, Højrelevant tema, Flere temaer</t>
  </si>
  <si>
    <t>2026-05-29T13:42:45.070465+00:00</t>
  </si>
  <si>
    <t>2026-05-28T14:00:00+02:00</t>
  </si>
  <si>
    <t>En ond spiral: Pædagogen står for skud, men det er rammerne, der er problemet</t>
  </si>
  <si>
    <t>"Pædagoger har for lidt tid til at bruge deres faglighed og derved give børnene og de unge det, de har brug for", skriver Rikke Beck Schmidt. Arkivfoto: Signe Goldmann/Ritzau Scanpix</t>
  </si>
  <si>
    <t>Rikke Beck Schmidt, Aarhus C, pædagog og fællestillidsrepræsentant i BUPL Århus</t>
  </si>
  <si>
    <t>art_a652407ca00e</t>
  </si>
  <si>
    <t>Velfærdsstatens grænser, Højrelevant tema, Regional debat med national vinkel</t>
  </si>
  <si>
    <t>skærme_sociale_medier_og_børn, pædagogfaget_og_rekruttering</t>
  </si>
  <si>
    <t>2026-05-29T13:42:02.656239+00:00</t>
  </si>
  <si>
    <t>2026-05-28T13:32:14+00:00</t>
  </si>
  <si>
    <t>Mange er bekymret for »generation ai« i gymnasiet. Men så prøvede lærer en ny eksamensform, der giver ham håb</t>
  </si>
  <si>
    <t>Læser man mediernes dækning, kunne man få den idé, at den gymnasiale sektor er taget på sengen, men så galt står det heldigvis ikke til.</t>
  </si>
  <si>
    <t>art_2bdb109cb0f3</t>
  </si>
  <si>
    <t>politik, uddannelse, teknologi_og_ai, kultur_og_medier</t>
  </si>
  <si>
    <t>2026-05-29T13:42:07.957569+00:00</t>
  </si>
  <si>
    <t>2026-05-28T12:30:00+00:00</t>
  </si>
  <si>
    <t>Kristeligt Dagblad mener: Medierne skal stå for noget – ellers falder de for alt</t>
  </si>
  <si>
    <t>Mærkværdig opstandelse hos Weekendavisens medarbejdere over at få at vide, at deres avis har et borgerligt grundlag. Det er afgørende, at medierne tør have forskellige holdninger, hvis vi ønsker pluralisme i meningsdannelsen</t>
  </si>
  <si>
    <t>Jeppe Duvå</t>
  </si>
  <si>
    <t>art_279910111148</t>
  </si>
  <si>
    <t>arbejdsmarked, kultur_og_medier</t>
  </si>
  <si>
    <t>Borger mod system, Flere temaer</t>
  </si>
  <si>
    <t>2026-05-29T13:42:02.919509+00:00</t>
  </si>
  <si>
    <t>2026-05-28T10:25:46+00:00</t>
  </si>
  <si>
    <t>På TikTok gav en georgisk madkurer sin frustration frit løb. Hans sag vidner om Europas »recession« i ytringsfrihed</t>
  </si>
  <si>
    <t>Skal georgiere, der kæmper for demokrati, virkelig udvise respekt og høflig underdanighed over for den regering, der gør deres land til en russisk klientstat? Det synes at være Den Europæiske Menneskerettighedsdomstols synspunkt.</t>
  </si>
  <si>
    <t>art_e6783971371d</t>
  </si>
  <si>
    <t>politik, eu_og_udland, ret_og_retsstat</t>
  </si>
  <si>
    <t>Frit valg/liberale værdier, Værdikamp, Højrelevant tema, Flere temaer, Retsstatspolitik</t>
  </si>
  <si>
    <t>2026-05-29T13:42:47.869396+00:00</t>
  </si>
  <si>
    <t>2026-05-28T10:00:00+02:00</t>
  </si>
  <si>
    <t>Hjælp bilisterne og os andre – byg mere letbane</t>
  </si>
  <si>
    <t>"Hver gang en pendler vælger letbanen frem for bilen, bliver der lidt mere plads på vejene. Det er sådan, man reducerer trængsel i praksis", skriver Jonas Buur Sinding og Hans Michael Betsch. Arkivfoto. Jens Thaysen</t>
  </si>
  <si>
    <t>Hans Michael Betsch, Skødstrup, og Jonas Sinding, Skødstrup, på vegne af Passagerrådet i Region Midtjylland</t>
  </si>
  <si>
    <t>art_8222ac89fa60</t>
  </si>
  <si>
    <t>skat_afgifter_og_bilister</t>
  </si>
  <si>
    <t>2026-05-29T13:42:50.243685+00:00</t>
  </si>
  <si>
    <t>2026-05-28T08:07:00+02:00</t>
  </si>
  <si>
    <t>Hvad skal der egentlig til, før politiet gider reagere?</t>
  </si>
  <si>
    <t>Trods gentagne anmeldelser om, at en mand smider kanonslag efter folk på gaden, mener Østjyllands Politi tilsyneladende ikke, at det er nødvendigt at finde frem til den skyldige. Foto: Eskil Lyngsøe</t>
  </si>
  <si>
    <t>art_dc209ae5f9be</t>
  </si>
  <si>
    <t>2026-05-29T13:43:11.073533+00:00</t>
  </si>
  <si>
    <t>2026-05-28T08:00:00+02:00</t>
  </si>
  <si>
    <t>Råb, afstraffelse eller ros og en godbid: Hvordan opdrager du din hund?</t>
  </si>
  <si>
    <t>Hvis man straffer sin hund, mener man formentlig, at den er til udelukkende for ens egen skyld. Foto: Liselotte Sabroe/Ritzau Scanpix</t>
  </si>
  <si>
    <t>art_7f6fc45eafea</t>
  </si>
  <si>
    <t>2026-05-29T13:42:03.166803+00:00</t>
  </si>
  <si>
    <t>2026-05-28T07:08:58+00:00</t>
  </si>
  <si>
    <t>Berlingske mener: Dette er et nyt lavpunkt for Trumps moral</t>
  </si>
  <si>
    <t>Præsident Trump rammer med sin nye »fond« et nyt moralsk lavpunkt. Det ligner korruption ved højlys dag.</t>
  </si>
  <si>
    <t>art_68840193f3de</t>
  </si>
  <si>
    <t>2026-05-29T13:42:03.377450+00:00</t>
  </si>
  <si>
    <t>2026-05-28T06:48:22+00:00</t>
  </si>
  <si>
    <t>Sikke et fald fra tinderne for Løkke, der nu blot er en radikal kopivare</t>
  </si>
  <si>
    <t>Velkommen til mit Borgerlingske-nyhedsbrev #193, hvis omdrejningspunkt er den mest foragtede person i blå blok lige nu. Du ved, ham med piben.</t>
  </si>
  <si>
    <t>art_c1f7ca1ae22d</t>
  </si>
  <si>
    <t>Borger mod system, Kendt aktør</t>
  </si>
  <si>
    <t>2026-05-29T13:42:03.656015+00:00</t>
  </si>
  <si>
    <t>2026-05-28T06:06:40+00:00</t>
  </si>
  <si>
    <t>Midterregeringen blev ikke den nye normal i dansk politik. Det er meget glædeligt</t>
  </si>
  <si>
    <t>Danmark har faktisk været godt tjent med den traditionelle blokpolitik, hvor yderfløjene netop fik den indflydelse, som deres stemmetal berettigede dem til. Det har været stabilt, og der har samtidig været masser af politisk samarbejde hen over midten.</t>
  </si>
  <si>
    <t>art_96cb608136db</t>
  </si>
  <si>
    <t>politik, arbejdsmarked, ret_og_retsstat</t>
  </si>
  <si>
    <t>2026-05-29T13:41:43.367940+00:00</t>
  </si>
  <si>
    <t>2026-05-28T02:00:00</t>
  </si>
  <si>
    <t>ChatGPT er ved at ødelægge vores sprog. Vi bør skamme os over at bruge det</t>
  </si>
  <si>
    <t>art_d7c1eb2caa3c</t>
  </si>
  <si>
    <t>2026-05-29T13:41:43.609409+00:00</t>
  </si>
  <si>
    <t>Tidligere politiker: Jeg mærkede på egen krop, hvor absurd det er, at vi tvinges til at give hånd for at få statsborgerskab</t>
  </si>
  <si>
    <t>art_bab02b2c4c1b</t>
  </si>
  <si>
    <t>Borger mod system, Højrelevant tema, Flere temaer, Retsstatspolitik</t>
  </si>
  <si>
    <t>2026-05-29T13:41:43.801030+00:00</t>
  </si>
  <si>
    <t>Grisedokumentar viser, at magtens rum er umulige at trænge ind i</t>
  </si>
  <si>
    <t>art_22273ea5701b</t>
  </si>
  <si>
    <t>2026-05-29T13:44:00.481382+00:00</t>
  </si>
  <si>
    <t>2026-05-27T19:19:00+02:00</t>
  </si>
  <si>
    <t>Viborg Folkeblad</t>
  </si>
  <si>
    <t>Midtjylland</t>
  </si>
  <si>
    <t>Læserbrev: Industriparken ved Ørum</t>
  </si>
  <si>
    <t>Planerne for industriparken er blevet skitseret - blandt andet ved et borgermøde. Arkivfoto: Ole Bjærge</t>
  </si>
  <si>
    <t>Søren Pagter, Vibevej 24, Ørum, 8830 Tjele</t>
  </si>
  <si>
    <t>art_946f59582882</t>
  </si>
  <si>
    <t>2026-05-29T13:42:03.881052+00:00</t>
  </si>
  <si>
    <t>2026-05-27T19:16:40+00:00</t>
  </si>
  <si>
    <t>Brugen af ai på universiteterne har skabt et »akut« spørgsmål – nu vil universitetsledere have ændret reglerne</t>
  </si>
  <si>
    <t>Det vigtigste læres kun i fællesskab. Derfor har vi brug for at kunne gøre meget mere tilstedeværelse til et krav, men det kræver en ændring af reglerne.</t>
  </si>
  <si>
    <t>art_160f10567d6d</t>
  </si>
  <si>
    <t>uddannelse, teknologi_og_ai</t>
  </si>
  <si>
    <t>2026-05-29T13:42:04.173617+00:00</t>
  </si>
  <si>
    <t>2026-05-27T19:15:44+00:00</t>
  </si>
  <si>
    <t>Historien vil ikke huske os for, hvor billig vores diesel var i 2026, men om vi stod fast, da det kostede noget</t>
  </si>
  <si>
    <t>art_2361521c631c</t>
  </si>
  <si>
    <t>Skat/afgifter, Højrelevant tema, Flere temaer</t>
  </si>
  <si>
    <t>2026-05-29T13:41:47.371283+00:00</t>
  </si>
  <si>
    <t>2026-05-27T19:07:00+02:00</t>
  </si>
  <si>
    <t>Fem år med samtykkeloven har gjort forvirrede teenagedrenge til voldtægtsmænd</t>
  </si>
  <si>
    <t>Når unge teenagedrenge dømmes for manglende samtykke i så store gråzoner, som vi ser det med samtykkeloven, har vi udvidet voldtægtsbegrebet til skade for retssikkerheden</t>
  </si>
  <si>
    <t>Signe Wolff Ravneberg</t>
  </si>
  <si>
    <t>art_435c8397277f</t>
  </si>
  <si>
    <t>Borger mod system, Højrelevant tema</t>
  </si>
  <si>
    <t>håndtryk_ligestilling_og_religion, retssikkerhed_og_udvisning</t>
  </si>
  <si>
    <t>2026-05-29T13:41:47.465881+00:00</t>
  </si>
  <si>
    <t>2026-05-27T19:04:58+02:00</t>
  </si>
  <si>
    <t>Er Information stadig en modstandsavis i Outzes ånd? Jeg tvivler</t>
  </si>
  <si>
    <t>RUC-forsker Dominique Routhier vil have Information til at luge ud i de reaktionære stemmer. Men demokratiet og modstandskampen – og dermed Information – kræver konflikt, ikke et trygt ekkokammer</t>
  </si>
  <si>
    <t>Bent Meier Sørensen</t>
  </si>
  <si>
    <t>art_2600be77bdc7</t>
  </si>
  <si>
    <t>2026-05-29T13:41:47.561317+00:00</t>
  </si>
  <si>
    <t>2026-05-27T19:04:45+02:00</t>
  </si>
  <si>
    <t>Når fredelige demonstranter mødes med stave og hunde, udhules tilliden i samfundet</t>
  </si>
  <si>
    <t>Politiet har forsvaret sin magtanvendelse over for demonstranter foran Mærsk med, at de var på privat grund og ikke forlod stedet. Men det gør ikke nødvendigvis magtanvendelsen proportional</t>
  </si>
  <si>
    <t>Sten Jørgensen</t>
  </si>
  <si>
    <t>art_88c48ad8fcfa</t>
  </si>
  <si>
    <t>2026-05-29T13:41:47.654638+00:00</t>
  </si>
  <si>
    <t>2026-05-27T19:04:35+02:00</t>
  </si>
  <si>
    <t>Grønlands selvstændighed har en pris, som Danmark bestemmer – og kan flytte</t>
  </si>
  <si>
    <t>Danmark påstår, at Grønland selv bestemmer sin fremtid. Men gang på gang flytter Danmark samtalen fra ret til ansvar, fra selvbestemmelse til sikkerhed</t>
  </si>
  <si>
    <t>Hans Brummerstedt</t>
  </si>
  <si>
    <t>art_919454b074c2</t>
  </si>
  <si>
    <t>klima_og_miljø, eu_og_udland</t>
  </si>
  <si>
    <t>steder:Grønland</t>
  </si>
  <si>
    <t>Frit valg/liberale værdier, Flere temaer</t>
  </si>
  <si>
    <t>grønland_og_rigsfællesskab</t>
  </si>
  <si>
    <t>2026-05-29T13:41:47.744401+00:00</t>
  </si>
  <si>
    <t>2026-05-27T19:04:15+02:00</t>
  </si>
  <si>
    <t>Yanis Varoufakis: NATO skal dø</t>
  </si>
  <si>
    <t>Ikke fordi Rusland er venligt, og ikke fordi USA er ondt, men snarere fordi NATO forhindrer Europas konsolidering og suverænitet</t>
  </si>
  <si>
    <t>Yanis Varoufakis</t>
  </si>
  <si>
    <t>art_28fa3092b4df</t>
  </si>
  <si>
    <t>organisationer:NATO</t>
  </si>
  <si>
    <t>2026-05-29T13:43:43.220849+00:00</t>
  </si>
  <si>
    <t>2026-05-27T18:31:00+02:00</t>
  </si>
  <si>
    <t>JydskeVestkysten</t>
  </si>
  <si>
    <t>Syd- og Sønderjylland</t>
  </si>
  <si>
    <t>Planlægningsforstoppelse: Den grønne omstilling drukner i succes</t>
  </si>
  <si>
    <t>Jørn Broch, direktør for redaktionel udvikling. Foto: Michael Bager</t>
  </si>
  <si>
    <t>art_f7ae81627a07</t>
  </si>
  <si>
    <t>2026-05-29T13:41:50.711209+00:00</t>
  </si>
  <si>
    <t>2026-05-27T17:02:45.606642+00:00</t>
  </si>
  <si>
    <t>Hvor bliver de store nordjyske virksomheder af? Vi begynder jagten på svaret nu</t>
  </si>
  <si>
    <t>I Nordjylland stiftes der relativt mange virksomheder. Men hvorfor er der så få, der for alvor vokser sig store? Det sætter vi fokus på i kommende uger i jagten på større virksomheder. Vores erhvervsredaktør Peter Simonsen sætter i denne leder fingeren på et spørgsmål, der rækker langt ud over bundlinjer og regnskaber: Er der noget i vores eget nordjyske opdrag, der spænder ben for væksten?Find linket til lederen via linket i kommentarsporet. 📸 Caroline Bundgaard</t>
  </si>
  <si>
    <t>Peter Simonsen</t>
  </si>
  <si>
    <t>art_2f0935293e72</t>
  </si>
  <si>
    <t>økonomi_og_erhverv, lokalsamfund_og_landdistrikter</t>
  </si>
  <si>
    <t>steder:Nordjylland</t>
  </si>
  <si>
    <t>2026-05-29T13:42:52.092248+00:00</t>
  </si>
  <si>
    <t>2026-05-27T17:00:00+02:00</t>
  </si>
  <si>
    <t>Det er ikke en grundlovssikret ret, at man som 20-årig kan få en lejlighed i Aarhus</t>
  </si>
  <si>
    <t>"Kristian Sommer er socialdemokrat og formand for by- og planudvalget. Det er altså en mand med stor indflydelse, og han repræsenterer det største parti, der næsten altid har det afgørende ord i Aarhus Byråd", skriver Michael Poulsen. Arkivfoto: Jens Thaysen</t>
  </si>
  <si>
    <t>Michael Poulsen, Christiansbjerg</t>
  </si>
  <si>
    <t>art_0fc30bb99654</t>
  </si>
  <si>
    <t>2026-05-29T13:42:54.974146+00:00</t>
  </si>
  <si>
    <t>2026-05-27T15:30:00+02:00</t>
  </si>
  <si>
    <t>Inger har omsider fået sin vej - men det er den forkerte vej</t>
  </si>
  <si>
    <t>"Inger havde i sin tid i Aarhus Byråd den faste mening, at ingen bygning i midtbyen i højden måtte overstige domkirketårnet", skriver Steen Jonsson Agger. Privatfoto: Peter Thyssen</t>
  </si>
  <si>
    <t>Steen Jonsson Agger, Tranbjerg, tidligere medlem af daværende Århus Amtsråd for Radikale Venstre</t>
  </si>
  <si>
    <t>art_79b7d655059e</t>
  </si>
  <si>
    <t>2026-05-29T13:42:04.426806+00:00</t>
  </si>
  <si>
    <t>2026-05-27T15:20:50+00:00</t>
  </si>
  <si>
    <t>Socialdemokratiet bebudede et opgør med kønsopdelt svømning. Var det bare bluff?</t>
  </si>
  <si>
    <t>I integrationspolitikken er Socialdemokratiets politikere hårde i retorikken, men de trækker tiden ud med undersøgelser og lappeløsninger i stedet for at være ærlige om deres manglende handlekraft. Det er sagen om kønsopdelt svømning et godt eksempel på, skriver Eva Gregersen.</t>
  </si>
  <si>
    <t>art_8d1b1e4c9aaf</t>
  </si>
  <si>
    <t>politik, velfærd, udlændinge_og_integration, ret_og_retsstat</t>
  </si>
  <si>
    <t>partier:Socialdemokratiet</t>
  </si>
  <si>
    <t>Kendt aktør, Konflikt/debat, Højrelevant tema, Flere temaer, Retsstatspolitik</t>
  </si>
  <si>
    <t>2026-05-29T13:42:04.695353+00:00</t>
  </si>
  <si>
    <t>2026-05-27T14:38:47+00:00</t>
  </si>
  <si>
    <t>Kina er den store trussel mod Europa</t>
  </si>
  <si>
    <t>Hvis Rusland med kinesisk støtte vinder krigen mod Ukraine, vil det være et kæmpemæssigt sikkerhedspolitisk nederlag for Europa.</t>
  </si>
  <si>
    <t>art_a38c97669c62</t>
  </si>
  <si>
    <t>eu_og_udland, teknologi_og_ai, ret_og_retsstat</t>
  </si>
  <si>
    <t>kina_taiwan_og_europa</t>
  </si>
  <si>
    <t>2026-05-29T13:42:04.953535+00:00</t>
  </si>
  <si>
    <t>2026-05-27T13:03:28+00:00</t>
  </si>
  <si>
    <t>Vicedirektør svarer Dansk Industri: Ansvaret for emballage skal ikke ende hos fællesskabet</t>
  </si>
  <si>
    <t>Virksomhederne har haft flere år til at forberede sig på den nye ordning. Derfor bør regningen for emballageaffald ikke igen ende hos fællesskabet.</t>
  </si>
  <si>
    <t>art_cdbef30af901</t>
  </si>
  <si>
    <t>2026-05-29T13:42:08.267550+00:00</t>
  </si>
  <si>
    <t>2026-05-27T13:00:00+00:00</t>
  </si>
  <si>
    <t>Sørine Gotfredsen: Kritikken af Berlingske afslører en angst for det klare ståsted</t>
  </si>
  <si>
    <t>Debatten om Berlingske Medias nye kampagne viser noget interessant om den tid, vi lever i, skriver Sørine Gotfredsen</t>
  </si>
  <si>
    <t>Sørine Gotfredsen</t>
  </si>
  <si>
    <t>art_d892eebb93ee</t>
  </si>
  <si>
    <t>2026-05-29T13:42:05.129837+00:00</t>
  </si>
  <si>
    <t>2026-05-27T10:56:04+00:00</t>
  </si>
  <si>
    <t>Rasmus Stoklund: Udvisning af kriminelle udlændinge er ikke »umenneskeligt«</t>
  </si>
  <si>
    <t>Hvis Europas befolkninger også i fremtiden skal bakke op om menneskerettighederne, så er tiden inde til at Den Europæiske Menneskerettighedsdomstol slår bak.</t>
  </si>
  <si>
    <t>art_6f1464d537d0</t>
  </si>
  <si>
    <t>udlændinge_og_integration, eu_og_udland, ret_og_retsstat</t>
  </si>
  <si>
    <t>Borger mod system, Højrelevant tema, Flere temaer</t>
  </si>
  <si>
    <t>retssikkerhed_og_udvisning</t>
  </si>
  <si>
    <t>2026-05-29T13:42:08.320229+00:00</t>
  </si>
  <si>
    <t>2026-05-27T09:00:00+00:00</t>
  </si>
  <si>
    <t>Formand for Foreningen af Menighedsråd: Debatten om nyt stift er kærkommen, men rejser også en væsentlig bekymring</t>
  </si>
  <si>
    <t>Ved kun at rykke ved en enkelt stiftsgrænse nu vil der hen ad vejen skulle lappeløsninger til igen og igen, skriver Anton Pihl om biskoppernes forslag til ny stiftsgrænse</t>
  </si>
  <si>
    <t>Anton Pihl</t>
  </si>
  <si>
    <t>art_ee58b13fb5f8</t>
  </si>
  <si>
    <t>2026-05-29T13:42:05.414795+00:00</t>
  </si>
  <si>
    <t>2026-05-27T08:28:29+00:00</t>
  </si>
  <si>
    <t>Jarl Cordua: Det er, som om en del af det blå vælgerkorps aldrig har haft samfundsfag i skolen</t>
  </si>
  <si>
    <t>Tingenes tilstand taget i betragtning er det ikke så underligt, at et blåt politisk projekt for ikke så få traditionelle blå vælgere er noget, man i bedste fald ser på med skepsis, snarere end noget, man egentlig glæder sig til, bliver udfoldet.</t>
  </si>
  <si>
    <t>art_f00e0eca0e32</t>
  </si>
  <si>
    <t>politik, uddannelse, ret_og_retsstat</t>
  </si>
  <si>
    <t>2026-05-29T13:42:05.466086+00:00</t>
  </si>
  <si>
    <t>2026-05-27T07:24:05+00:00</t>
  </si>
  <si>
    <t>Berlingske mener: Måske er tiden kommet til at indføre »støjkupeen«</t>
  </si>
  <si>
    <t>Det burde være helt almindelig dannelse ikke at forpeste sine medmennesker med musik, videoer og konstant larm. Men noget er gået galt i det offentlige rum.</t>
  </si>
  <si>
    <t>art_16bc19be9b1c</t>
  </si>
  <si>
    <t>2026-05-29T13:42:59.614868+00:00</t>
  </si>
  <si>
    <t>2026-05-27T07:02:00+02:00</t>
  </si>
  <si>
    <t>Tillykke Aarhus: Sportssuccesen startede en regnfuld tirsdag eftermiddag</t>
  </si>
  <si>
    <t>"De frivillige står på sidelinjen på mørke novemberaftener. De vasker trøjer, laver træningsprogrammer, planlægger kørsel og tager ansvar for et fællesskab, fordi de vil være noget for nogen", skriver Jens Bundgaard. Arkivfoto: Mads Claus Rasmussen/Ritzau Scanpix</t>
  </si>
  <si>
    <t>Jens Bundgaard, bestyrelsesformand for Idrætssamvirket Aarhus</t>
  </si>
  <si>
    <t>art_ae0f58546aa4</t>
  </si>
  <si>
    <t>2026-05-29T13:41:50.813831+00:00</t>
  </si>
  <si>
    <t>2026-05-27T05:01:48.761222+00:00</t>
  </si>
  <si>
    <t>Beboer efter karnevalet: Folkefest må ikke ske på naboernes bekostning</t>
  </si>
  <si>
    <t>Frits Ingemann</t>
  </si>
  <si>
    <t>art_a29b77d1a14a</t>
  </si>
  <si>
    <t>2026-05-29T13:41:50.989424+00:00</t>
  </si>
  <si>
    <t>2026-05-27T04:02:54.665016+00:00</t>
  </si>
  <si>
    <t>Åbent brev til byrådet: Stop op før beslutningen om ny varmestue i Aalborg</t>
  </si>
  <si>
    <t>Efter et velbesøgt borgermøde arrangeret af Nordjyske og Aalborg Midtbys Samråd opfordrer en gruppe borgere Aalborg Byråd til at udskyde beslutningen om en ny varmestue ved Karolinelundsvej, indtil konsekvenser og alternativer er bedre belyst.</t>
  </si>
  <si>
    <t>Lars Højmark</t>
  </si>
  <si>
    <t>art_112ef3827ef3</t>
  </si>
  <si>
    <t>politik, lokalsamfund_og_landdistrikter</t>
  </si>
  <si>
    <t>Borger mod system, Højrelevant tema, Flere temaer, Regional debat med national vinkel</t>
  </si>
  <si>
    <t>2026-05-29T13:41:51.086421+00:00</t>
  </si>
  <si>
    <t>2026-05-27T03:01:47.972033+00:00</t>
  </si>
  <si>
    <t>Strøm til Nordjylland bør være en klar prioritet for alle</t>
  </si>
  <si>
    <t>Preben Bang Henriksen</t>
  </si>
  <si>
    <t>art_641c8e07ca30</t>
  </si>
  <si>
    <t>lokalsamfund_og_landdistrikter</t>
  </si>
  <si>
    <t>2026-05-29T13:41:44.066343+00:00</t>
  </si>
  <si>
    <t>2026-05-27T02:00:00</t>
  </si>
  <si>
    <t>Professor svarer igen: Morten Kromann har misforstået, hvad retspolitik er</t>
  </si>
  <si>
    <t>art_27791f75906d</t>
  </si>
  <si>
    <t>2026-05-29T13:41:44.258366+00:00</t>
  </si>
  <si>
    <t>Sikandar Siddique: Staten udøver negativ social kontrol, når den tvinger os til at give hånd</t>
  </si>
  <si>
    <t>art_b33683534d77</t>
  </si>
  <si>
    <t>Kritik af formynderi, Konflikt/debat, Højrelevant tema</t>
  </si>
  <si>
    <t>2026-05-29T13:41:44.460421+00:00</t>
  </si>
  <si>
    <t>Der findes ikke noget liberalt parti på Christiansborg</t>
  </si>
  <si>
    <t>art_d056d6ca4123</t>
  </si>
  <si>
    <t>Værdikamp, Højrelevant tema</t>
  </si>
  <si>
    <t>2026-05-29T13:41:44.672155+00:00</t>
  </si>
  <si>
    <t>Imran Rashid: Brinkmann undervurderer skærmenes psykologiske magt over vores børn</t>
  </si>
  <si>
    <t>art_30af9139b281</t>
  </si>
  <si>
    <t>velfærd, teknologi_og_ai</t>
  </si>
  <si>
    <t>skærme_sociale_medier_og_børn</t>
  </si>
  <si>
    <t>2026-05-29T13:43:04.461159+00:00</t>
  </si>
  <si>
    <t>2026-05-26T19:00:00+02:00</t>
  </si>
  <si>
    <t>Når Aarhus vokser, må hverdagen ikke gå i stå: Irritation er en dårlig klimapolitik</t>
  </si>
  <si>
    <t>"Mobilitet handler ikke kun om asfalt, busbaner, cykelstier og letbaneskinner. Mobilitet handler om hverdag. Om tid. Om frihed. Om at få livet til at hænge sammen", skriver Peter Kjær Flyvholm. Arkivfoto: Kim Haugaard</t>
  </si>
  <si>
    <t>Peter Kjær Flyvholm, Trøjborg, storkredsformand for Kristendemokraterne i Østjylland</t>
  </si>
  <si>
    <t>art_8cdad3c1ed2c</t>
  </si>
  <si>
    <t>politik, klima_og_miljø, ret_og_retsstat</t>
  </si>
  <si>
    <t>Frit valg/liberale værdier, Højrelevant tema, Flere temaer, Retsstatspolitik, Regional debat med national vinkel</t>
  </si>
  <si>
    <t>2026-05-29T13:42:05.640763+00:00</t>
  </si>
  <si>
    <t>2026-05-26T18:45:04+00:00</t>
  </si>
  <si>
    <t>Det er for nemt at sige, at alle politiske problemer strømmer fra yderfløjene. For midten har også gjort sit</t>
  </si>
  <si>
    <t>Midten har i den grad bidraget til at destabilisere dansk politik. Tænk bare på Lars Løkke Rasmussens Moderaterne, hvor personskandalerne efterhånden må være mange og farverige nok til at kunne fylde et særnummer af SE og HØR.</t>
  </si>
  <si>
    <t>art_ad061148fb7f</t>
  </si>
  <si>
    <t>personer:Lars Løkke Rasmussen, partier:Moderaterne</t>
  </si>
  <si>
    <t>2026-05-29T13:42:05.870154+00:00</t>
  </si>
  <si>
    <t>2026-05-26T17:51:41+00:00</t>
  </si>
  <si>
    <t>En ny regering skal tage fat om roden på bureaukratiet og gå forrest</t>
  </si>
  <si>
    <t>art_fc4ce4cacb8f</t>
  </si>
  <si>
    <t>2026-05-29T13:42:06.132777+00:00</t>
  </si>
  <si>
    <t>2026-05-26T15:44:54+00:00</t>
  </si>
  <si>
    <t>13 procent af voksne danskere lever med sygdommen – og det kan ramme de erhverv, som skriger på arbejdskraft</t>
  </si>
  <si>
    <t>I de kommende år vil Danmark mangle tusindvis af medarbejdere inden for sundhed, omsorg og andre faglærte erhverv. Vi har ikke råd til at miste mennesker til en sygdom, der kan forebygges og behandles – hvis vi handler i tide.</t>
  </si>
  <si>
    <t>art_d11debdfea92</t>
  </si>
  <si>
    <t>velfærd, arbejdsmarked, økonomi_og_erhverv</t>
  </si>
  <si>
    <t>2026-05-29T13:43:09.798922+00:00</t>
  </si>
  <si>
    <t>2026-05-26T15:14:00+02:00</t>
  </si>
  <si>
    <t>For abonnenter Plask: Nu kunne Vejles lære at svømme i rent vand - i stedet for det grumsede havnevand</t>
  </si>
  <si>
    <t>Med den nye svømmehal i 1970 og den første idrætshal i 1972 skulle Idrættens Hus blive en af byens vigtigste institutioner i mange år frem. Der findes næppe tal på, hvor mange glade stunder, Vejles borgere har oplevet i et hus, der nærmest har permanent vokseværk. Fra Lars Ringholms arkiv</t>
  </si>
  <si>
    <t>art_a8f4d811b89e</t>
  </si>
  <si>
    <t>2026-05-29T13:43:47.775147+00:00</t>
  </si>
  <si>
    <t>art_f6b5cd3b10ef</t>
  </si>
  <si>
    <t>2026-05-29T13:43:08.333854+00:00</t>
  </si>
  <si>
    <t>2026-05-26T15:00:00+02:00</t>
  </si>
  <si>
    <t>Retssikkerhed er ikke ligegyldigt bureaukrati</t>
  </si>
  <si>
    <t>Katrine Daugaard socialordfører i Liberal Alliance. Foto: Nicoline Kjems-Krognos/Ritzau Scanpix</t>
  </si>
  <si>
    <t>og Katrine Daugaard, Social- og Kulturordfører, Liberal Alliance, valgt på Fyn</t>
  </si>
  <si>
    <t>art_28076c984ed3</t>
  </si>
  <si>
    <t>partier:Liberal Alliance</t>
  </si>
  <si>
    <t>Velfærdsstatens grænser, Borger mod system, Højrelevant tema, Flere temaer, Retsstatspolitik, Regional debat med national vinkel</t>
  </si>
  <si>
    <t>2026-05-29T13:42:42.195204+00:00</t>
  </si>
  <si>
    <t>2026-05-26T14:23:35+02:00</t>
  </si>
  <si>
    <t>Det er hyggelige legekammerater, kamæleonen Lars Løkke holder sig. Hans eftermæle er på spil</t>
  </si>
  <si>
    <t>Peter Orry er seniorredaktør i JFM. Foto: Jacob Schultz.</t>
  </si>
  <si>
    <t>art_4e6b4ed53391</t>
  </si>
  <si>
    <t>2026-05-29T13:43:12.270189+00:00</t>
  </si>
  <si>
    <t>art_0ecaad4106b8</t>
  </si>
  <si>
    <t>2026-05-29T13:42:43.248117+00:00</t>
  </si>
  <si>
    <t>2026-05-26T14:20:58+02:00</t>
  </si>
  <si>
    <t>Besparelser på handicapområdet kan koste Odder Kommune dyrt</t>
  </si>
  <si>
    <t>Jeanette Strøm, forperson og Per Jacobsen, Askelunden 16, Hou, bestyrelsesmedlem</t>
  </si>
  <si>
    <t>art_4d93a5d789af</t>
  </si>
  <si>
    <t>2026-05-29T13:43:45.514682+00:00</t>
  </si>
  <si>
    <t>2026-05-26T13:53:20+02:00</t>
  </si>
  <si>
    <t>Samarbejdet over grænsen skal udvikles i fællesskab</t>
  </si>
  <si>
    <t>Mette Bossen Linnet (V) er formand for Særligt rådgivende udvalg for dansk-tysk samarbejde under Region Syddanmark. Foto: Jacob Schultz</t>
  </si>
  <si>
    <t>Mette Bossen Linnet (V), formand for Særligt rådgivende udvalg for det dansk-tyske samarbejde, Region Syddanmark</t>
  </si>
  <si>
    <t>art_e1ab89d9f51c</t>
  </si>
  <si>
    <t>politik, arbejdsmarked</t>
  </si>
  <si>
    <t>2026-05-29T13:42:06.391790+00:00</t>
  </si>
  <si>
    <t>2026-05-26T13:25:10+00:00</t>
  </si>
  <si>
    <t>Borgerligheden er blevet småborgerlig</t>
  </si>
  <si>
    <t>Dansk borgerlighed er i stigende grad begyndt at ligne det spejlbillede af identitetspolitik, den ellers hævder at bekæmpe. I forsøget på at bekæmpe identitetspolitik har man selv reduceret politik til kulturelle markører, loyalitetstests og stereotype forventninger.</t>
  </si>
  <si>
    <t>art_ee4cb203609b</t>
  </si>
  <si>
    <t>kultur_og_medier, ret_og_retsstat</t>
  </si>
  <si>
    <t>2026-05-29T13:42:06.625001+00:00</t>
  </si>
  <si>
    <t>2026-05-26T12:17:14+00:00</t>
  </si>
  <si>
    <t>Mærsks ansatte skal tilbage på kontoret – men andre virksomheder bør være varsomme med at kopiere strategien</t>
  </si>
  <si>
    <t>Vi har fortsat en tendens til at se kontoret, som det var, snarere end som det er ved at blive. I mange traditionelle organisationer lever forestillingen stadig om, at »rigtigt arbejde« først for alvor opstår gennem fysisk tilstedeværelse. Men der er udfordringer ved den opfattelse, skriver Claus Sneppen.</t>
  </si>
  <si>
    <t>art_08ce8d4926a9</t>
  </si>
  <si>
    <t>politik, arbejdsmarked, økonomi_og_erhverv</t>
  </si>
  <si>
    <t>2026-05-29T13:41:51.361753+00:00</t>
  </si>
  <si>
    <t>2026-05-26T12:15:46.235719+00:00</t>
  </si>
  <si>
    <t>Frihed har en pris - spørgsmålet er, om vi vil betale den</t>
  </si>
  <si>
    <t>Phillip Gam</t>
  </si>
  <si>
    <t>art_d9556a0abc59</t>
  </si>
  <si>
    <t>Frit valg/liberale værdier</t>
  </si>
  <si>
    <t>2026-05-29T13:42:06.838001+00:00</t>
  </si>
  <si>
    <t>2026-05-26T11:05:02+00:00</t>
  </si>
  <si>
    <t>Berlingske mener: Det er farligt, når Trump kvæler al modstand</t>
  </si>
  <si>
    <t>I Trumps parti gælder kun ét princip: Absolut loyalitet, ikke over for vælgerne, ikke over for Amerika, men over for Trump.</t>
  </si>
  <si>
    <t>art_af70d0ebaabf</t>
  </si>
  <si>
    <t>politik, eu_og_udland</t>
  </si>
  <si>
    <t>2026-05-29T13:42:07.088217+00:00</t>
  </si>
  <si>
    <t>2026-05-26T08:13:26+00:00</t>
  </si>
  <si>
    <t>Der er alt for mange misforståelser i debatten om fertilitet</t>
  </si>
  <si>
    <t>Vi er også nødt til at skabe et samfund, hvor det føles muligt at stifte familie. Og vi er nødt til at forstå, hvorfor udviklingen ser så forskellig ud på tværs af grupper i Danmark. Det kræver mere forskning, mere viden og politisk mod til at prioritere området langsigtet.</t>
  </si>
  <si>
    <t>art_ed2962dfca07</t>
  </si>
  <si>
    <t>2026-05-29T13:41:51.554569+00:00</t>
  </si>
  <si>
    <t>2026-05-26T05:01:46.981953+00:00</t>
  </si>
  <si>
    <t>Folketinget ser på vandselskabernes ansvar – sagen fra Hjørring viser hvorfor</t>
  </si>
  <si>
    <t>Mette Præstegaard</t>
  </si>
  <si>
    <t>art_14b1dcdc0ed0</t>
  </si>
  <si>
    <t>Kendt aktør, Højrelevant tema, Regional debat med national vinkel</t>
  </si>
  <si>
    <t>2026-05-29T13:41:44.868086+00:00</t>
  </si>
  <si>
    <t>2026-05-26T02:00:00</t>
  </si>
  <si>
    <t>Forhandlingsekspert: Danmark begår klare fejl i forsvaret mod Trumps krav på Grønland</t>
  </si>
  <si>
    <t>art_7f893ca9868a</t>
  </si>
  <si>
    <t>2026-05-29T13:41:45.092627+00:00</t>
  </si>
  <si>
    <t>Ny strategi afslører Trumps autoritære politiske projekt</t>
  </si>
  <si>
    <t>art_c8efda8d5325</t>
  </si>
  <si>
    <t>eu_og_udland, ret_og_retsstat</t>
  </si>
  <si>
    <t>2026-05-29T13:41:45.314839+00:00</t>
  </si>
  <si>
    <t>Özlem Cekic og Poul Madsen: Vi glemmer det vigtigste i debatten om danskhed</t>
  </si>
  <si>
    <t>art_b56a7dd0fb2b</t>
  </si>
  <si>
    <t>2026-05-29T13:43:44.368023+00:00</t>
  </si>
  <si>
    <t>2026-05-25T17:07:21+02:00</t>
  </si>
  <si>
    <t>Tak til Mette for at dele sin historie: Hun var “Fru Danmark” - så væltede livet</t>
  </si>
  <si>
    <t>Mette Cramon er chefredaktør på JydskeVestkysten.</t>
  </si>
  <si>
    <t>art_e828585a29fd</t>
  </si>
  <si>
    <t>2026-05-29T13:42:07.240048+00:00</t>
  </si>
  <si>
    <t>2026-05-25T17:00:00+00:00</t>
  </si>
  <si>
    <t>Sørine Gotfredsen undrer sig over debat om digters T-shirt: Hvad hvis det havde været et hagekors?</t>
  </si>
  <si>
    <t>At opfatte det som utænkeligt at have en holdning til menneskers måde at klæde sig på afslører, hvor meget sans vi har mistet for uniformeringens betydning</t>
  </si>
  <si>
    <t>art_1f26504f6ce4</t>
  </si>
  <si>
    <t>2026-05-29T13:42:07.601448+00:00</t>
  </si>
  <si>
    <t>2026-05-25T16:00:00+00:00</t>
  </si>
  <si>
    <t>Provst: Sognet har mistet sin betydning. Folk vælger kirke, som de vælger supermarked</t>
  </si>
  <si>
    <t>Folkekirken er stadig levende, men ikke længere organiseret efter den måde, mennesker faktisk lever på. Derfor bør vi gentænke sognet som folkekirkens grundstruktur, skriver Peter Senbergs</t>
  </si>
  <si>
    <t>hoeg@k.dk</t>
  </si>
  <si>
    <t>art_717748669e7e</t>
  </si>
  <si>
    <t>2026-05-29T13:43:13.492684+00:00</t>
  </si>
  <si>
    <t>2026-05-25T12:00:00+02:00</t>
  </si>
  <si>
    <t>Flere bakker op om "fuck islam" skrevet på moské: Det er jo helt væk fra vinduet</t>
  </si>
  <si>
    <t>Enhver bør tage afstand fra hærværket mod moskéen i Odense, skriver avisens lederskribent. Privatfoto: Muuse Cali.</t>
  </si>
  <si>
    <t>art_9a532a6a9a40</t>
  </si>
  <si>
    <t>2026-05-29T13:41:51.737490+00:00</t>
  </si>
  <si>
    <t>2026-05-25T05:00:45.864026+00:00</t>
  </si>
  <si>
    <t>Debat: Nyt methanolanlæg ved Aars rejser spørgsmål om risiko, placering og kontrol</t>
  </si>
  <si>
    <t>Christina H. Normand</t>
  </si>
  <si>
    <t>art_ac37cd5f71ee</t>
  </si>
  <si>
    <t>2026-05-29T13:41:45.557735+00:00</t>
  </si>
  <si>
    <t>2026-05-25T02:00:00</t>
  </si>
  <si>
    <t>Kommunernes budget eksploderer på det mest betændte område. Men Christiansborg stikker hovedet i busken</t>
  </si>
  <si>
    <t>art_ef80bf086825</t>
  </si>
  <si>
    <t>2026-05-29T13:43:46.537177+00:00</t>
  </si>
  <si>
    <t>2026-05-24T16:07:00+02:00</t>
  </si>
  <si>
    <t>Håbet lever</t>
  </si>
  <si>
    <t>Foto: Liselotte Sabroe/Ritzau Scanpix</t>
  </si>
  <si>
    <t>Elisabeth Koustrup, Brombærvej 13, 6510 Gram</t>
  </si>
  <si>
    <t>art_1709b6b154fd</t>
  </si>
  <si>
    <t>2026-05-29T13:43:15.827221+00:00</t>
  </si>
  <si>
    <t>2026-05-24T15:06:00+02:00</t>
  </si>
  <si>
    <t>Jelling Musikfestival Klumme: Kære 50-årige, I er ikke altid så velopdragne, som I tror</t>
  </si>
  <si>
    <t>Olivia Odgaard Sørensen oplevede flere midaldrende koncertgæster mase sig ind foran scenen uden at tage hensyn til andre omkring dem. Foto: Mette Mørk</t>
  </si>
  <si>
    <t>art_9cdee6e2b538</t>
  </si>
  <si>
    <t>2026-05-29T13:43:50.116949+00:00</t>
  </si>
  <si>
    <t>art_121cccab3502</t>
  </si>
  <si>
    <t>2026-05-29T13:43:18.261810+00:00</t>
  </si>
  <si>
    <t>2026-05-24T10:45:00+02:00</t>
  </si>
  <si>
    <t>For abonnenter Det er da fint, at folk i tusindvis kommer til ridestævne i Vejle - men hvor d.... skal de parkere?</t>
  </si>
  <si>
    <t>Jeg var fristet til at skrive følgende billedtekst: Folk holder i kø ved en af Vejles indfaldsveje, da der løber et rygte om, at der er spottet en ledig parkeringsplads i Vestbyen. Arkivfoto: Søren Gylling</t>
  </si>
  <si>
    <t>art_e7ed56feb6b3</t>
  </si>
  <si>
    <t>2026-05-29T13:43:51.432981+00:00</t>
  </si>
  <si>
    <t>art_02fec4c6f768</t>
  </si>
  <si>
    <t>2026-05-29T13:44:02.773568+00:00</t>
  </si>
  <si>
    <t>2026-05-24T09:48:00+02:00</t>
  </si>
  <si>
    <t>Læserbrev: Søerne skal ikke være byens bagside – de skal være Viborgs fremtid</t>
  </si>
  <si>
    <t>Viborgs søer kan noget specielt - og lad os udnytte det, skriver Anders K. Kristensen. Arkivfoto: Grethe Anæus</t>
  </si>
  <si>
    <t>Anders K. Kristensen, kulturaktivist, Vesterled 14, 8800 Viborg</t>
  </si>
  <si>
    <t>art_cc845e5e3b3c</t>
  </si>
  <si>
    <t>2026-05-29T13:43:17.023256+00:00</t>
  </si>
  <si>
    <t>2026-05-24T09:30:00+02:00</t>
  </si>
  <si>
    <t>Prisen er i alt 210 millioner kroner: Derfor er det rigtigt at bruge så mange penge på stadion</t>
  </si>
  <si>
    <t>Nu kan den længe ventede renovering af Odense Stadion gå i gang. Prisen for projektet er sat til 210 millioner kroner. Langt den største del af finansieringen står Niels Thorborgs underholdningskoncern Odense Sport &amp; Event for. Og sådan vil Odenses store stadion komme til at tage sig ud fra oven, når det - forhåbentligt - står færdig om et par år. Visualisering: Graa Arkitekter</t>
  </si>
  <si>
    <t>art_baff7725e8a2</t>
  </si>
  <si>
    <t>2026-05-29T13:43:14.657127+00:00</t>
  </si>
  <si>
    <t>2026-05-24T09:00:00+02:00</t>
  </si>
  <si>
    <t>Odense skal ikke bare tale om fremtiden – vi skal bygge den</t>
  </si>
  <si>
    <t>Hvis Odense for alvor vil være en fremtidsby, er det ikke nok at udvikle ny teknologi. Vi skal også være den by, der tør tage den i brug først. Arkivfoto: Thomas Traasdahl/Scanpix</t>
  </si>
  <si>
    <t>Lokalpolitiker i Odense Kommune Claus Houden (V)</t>
  </si>
  <si>
    <t>art_20b580ce321b</t>
  </si>
  <si>
    <t>2026-05-29T13:41:51.944447+00:00</t>
  </si>
  <si>
    <t>2026-05-24T03:37:47.475396+00:00</t>
  </si>
  <si>
    <t>Nordjyske mener: Forsigtighed er ikke nok, når fjorden forandrer sig</t>
  </si>
  <si>
    <t>Ingen ved endnu præcis, hvorfor vandet i Halkær Bredning er blevet klarere. Men borgerne har krav på, at myndighederne møder udviklingen med mere nysgerrighed</t>
  </si>
  <si>
    <t>Kathrine Lykkegaard Jeppesen</t>
  </si>
  <si>
    <t>art_6975ceb04cd8</t>
  </si>
  <si>
    <t>2026-05-29T13:41:45.836599+00:00</t>
  </si>
  <si>
    <t>2026-05-24T02:00:00</t>
  </si>
  <si>
    <t>Mens Løkke bejlede til de blå, lagde Pia Olsen Dyhr en plan</t>
  </si>
  <si>
    <t>art_963cdb41c798</t>
  </si>
  <si>
    <t>2026-05-29T13:41:46.012870+00:00</t>
  </si>
  <si>
    <t>Når jeg spiser min venindes veganske mad, er det udtryk for høflighed – ikke venstreekstrem underkastelse</t>
  </si>
  <si>
    <t>art_27f407249a28</t>
  </si>
  <si>
    <t>Frit valg/liberale værdier, Kendt aktør, Højrelevant tema</t>
  </si>
  <si>
    <t>2026-05-29T13:43:48.899268+00:00</t>
  </si>
  <si>
    <t>2026-05-23T16:07:00+02:00</t>
  </si>
  <si>
    <t>Danmark drukner i bureaukrati - hvor blev reformerne af?</t>
  </si>
  <si>
    <t>Jan Køpke Christensen var folketingskandidat for Borgernes Parti ved folketingsvalget. Foto: Privat</t>
  </si>
  <si>
    <t>Jan Køpke Christensen,Løjt Storegade 19, 6200 Aabenraa, Borgernes Parti</t>
  </si>
  <si>
    <t>art_76aaf0d736f0</t>
  </si>
  <si>
    <t>Velfærdsstatens grænser, Borger mod system, Højrelevant tema, Regional debat med national vinkel</t>
  </si>
  <si>
    <t>2026-05-29T13:44:03.943143+00:00</t>
  </si>
  <si>
    <t>2026-05-23T09:48:00+02:00</t>
  </si>
  <si>
    <t>Læserbrev: Rigspolitichefens synderegister</t>
  </si>
  <si>
    <t>Kell Schellerup melder sig i det kritiske kor mod rigspolitichef Thorkild Fogde - ikke mindst med henvisning til minksagen. Arkivfoto: Emma Haas</t>
  </si>
  <si>
    <t>Kell Schellerup, Søndersøparken 17b, Viborg</t>
  </si>
  <si>
    <t>art_e0e1d812c787</t>
  </si>
  <si>
    <t>2026-05-29T13:43:20.883322+00:00</t>
  </si>
  <si>
    <t>2026-05-23T08:00:00+02:00</t>
  </si>
  <si>
    <t>Konkurser, kaos og kritisable forhold: Her er hvad Nyt OUH har desperat brug for</t>
  </si>
  <si>
    <t>Nyt OUH fylder meget - også i den offentlige debat. Desværre oftest for det negative. Foto: Michael Bager</t>
  </si>
  <si>
    <t>art_3bf786d503f4</t>
  </si>
  <si>
    <t>2026-05-29T13:43:52.504600+00:00</t>
  </si>
  <si>
    <t>2026-05-23T07:08:00+02:00</t>
  </si>
  <si>
    <t>Der findes forklaringer. Men der findes ikke undskyldninger</t>
  </si>
  <si>
    <t>Anne Lind Støhs er redaktionschef på JydskeVestkysten. Foto: Jacob Schultz</t>
  </si>
  <si>
    <t>art_dcf304b614b6</t>
  </si>
  <si>
    <t>2026-05-29T13:41:52.048828+00:00</t>
  </si>
  <si>
    <t>2026-05-23T07:01:54.440230+00:00</t>
  </si>
  <si>
    <t>Praktikantordningen er blevet til billig arbejdskraft</t>
  </si>
  <si>
    <t>Dette er et debatindlæg. Indlægget er udtryk for skribenternes egen holdning.</t>
  </si>
  <si>
    <t>Mette Vestenbæk</t>
  </si>
  <si>
    <t>art_848af280bff1</t>
  </si>
  <si>
    <t>arbejdsmarked</t>
  </si>
  <si>
    <t>2026-05-29T13:41:52.240131+00:00</t>
  </si>
  <si>
    <t>2026-05-23T05:01:53.676442+00:00</t>
  </si>
  <si>
    <t>Har Mors brug for en erhvervspolitik?</t>
  </si>
  <si>
    <t>Tage Odgaard Nielsen</t>
  </si>
  <si>
    <t>art_bed83f2b467e</t>
  </si>
  <si>
    <t>økonomi_og_erhverv, ret_og_retsstat</t>
  </si>
  <si>
    <t>2026-05-29T13:41:46.239958+00:00</t>
  </si>
  <si>
    <t>2026-05-22T20:20:00</t>
  </si>
  <si>
    <t>Løkke tabte magtkampen med de blå. Nu bliver hans sejre på de rødes nåde</t>
  </si>
  <si>
    <t>art_830b27a303bd</t>
  </si>
  <si>
    <t>2026-05-29T13:41:52.547032+00:00</t>
  </si>
  <si>
    <t>2026-05-22T07:00:54.676833+00:00</t>
  </si>
  <si>
    <t>Danmarks skjulte jobmotor mangler medarbejdere – det truer både vækst og integration</t>
  </si>
  <si>
    <t>art_9ae963091f02</t>
  </si>
  <si>
    <t>arbejdsmarked, udlændinge_og_integration</t>
  </si>
  <si>
    <t>2026-05-29T13:41:52.749172+00:00</t>
  </si>
  <si>
    <t>2026-05-22T06:02:44.935141+00:00</t>
  </si>
  <si>
    <t>Når Hormuz blokeres, må Nordjylland stå stærkere</t>
  </si>
  <si>
    <t>Pernille Simonsen</t>
  </si>
  <si>
    <t>art_8a3fa0b9af60</t>
  </si>
  <si>
    <t>2026-05-29T13:41:52.946323+00:00</t>
  </si>
  <si>
    <t>2026-05-22T04:02:49.393151+00:00</t>
  </si>
  <si>
    <t>Læser i Brønderslev: Hvem læser indsigelser fra borgerne?</t>
  </si>
  <si>
    <t>Henning Krabbe</t>
  </si>
  <si>
    <t>art_a17336938ce8</t>
  </si>
  <si>
    <t>2026-05-29T13:44:04.995704+00:00</t>
  </si>
  <si>
    <t>2026-05-21T19:39:00+02:00</t>
  </si>
  <si>
    <t>Læserbrev: Der kan ikke kæmpes nok for ulvens udryddelse i Danmark</t>
  </si>
  <si>
    <t>Ulvens angreb på eksempelvis får er ikke bare en aflivning, men også en decideret mishandling, skriver Bent Bjerge. Arkivfoto: Cato Barslund</t>
  </si>
  <si>
    <t>Bent Bjerge, Tranebærvej 17, 8800 Viborg</t>
  </si>
  <si>
    <t>art_535040284aa7</t>
  </si>
  <si>
    <t>ulvedebat</t>
  </si>
  <si>
    <t>2026-05-29T13:43:19.673063+00:00</t>
  </si>
  <si>
    <t>2026-05-21T15:24:24+02:00</t>
  </si>
  <si>
    <t>Læserdebat: - Du ejer ikke din udsigt ...</t>
  </si>
  <si>
    <t>Hvorfor skal udsigten over Svendborg Havn spoleres, spørger Hanne og Lars Riis-Hansen. Foto: Hans-Henrik Dyssel</t>
  </si>
  <si>
    <t>Hanne og Lars Riis-Hansen, Skattergade 40, Svendborg</t>
  </si>
  <si>
    <t>art_83dd31e0af81</t>
  </si>
  <si>
    <t>2026-05-29T13:43:23.096770+00:00</t>
  </si>
  <si>
    <t>2026-05-21T15:00:00+02:00</t>
  </si>
  <si>
    <t>Fyn viser vejen for hele Danmark: Sådan beskytter vi det, som er afgørende for os allesammen</t>
  </si>
  <si>
    <t>Store forhåbninger kan sagtens knytte sig til ting, som fortsat er ganske små. Sådan er det i denne sag. Foto: Henrik Nguyen</t>
  </si>
  <si>
    <t>art_3d2a51187441</t>
  </si>
  <si>
    <t>2026-05-29T13:44:06.003834+00:00</t>
  </si>
  <si>
    <t>2026-05-21T13:34:08+02:00</t>
  </si>
  <si>
    <t>Læserbrev: Kommentarer til sundhedsprofilen 'Hvordan har du det?'</t>
  </si>
  <si>
    <t>Frank Bukdahl Pedersen foreslår blandt andet kapacitetsforbedringer på rute 26. Arkivfoto: Andreas Søndergaard</t>
  </si>
  <si>
    <t>Frank Bukdahl Pedersen, Vesterbrogade 23C, 1.5, 8800 Viborg</t>
  </si>
  <si>
    <t>art_1c2ece47e92f</t>
  </si>
  <si>
    <t>2026-05-29T13:42:08.964055+00:00</t>
  </si>
  <si>
    <t>2026-05-21T11:00:00+00:00</t>
  </si>
  <si>
    <t>Skriv om en beslutning, der formede livet, og vind 10.000 kroner</t>
  </si>
  <si>
    <t>Beslutninger træffer vi i massevis hver eneste dag. Nogle få af dem har potentiale til at ændre livet i det store eller i det små. De beslutninger inviteres læserne til at skrive om i årets kronikkonkurrence</t>
  </si>
  <si>
    <t>Sally Frydenlund Cohen</t>
  </si>
  <si>
    <t>art_443e4d6e836d</t>
  </si>
  <si>
    <t>2026-05-29T13:42:44.150275+00:00</t>
  </si>
  <si>
    <t>2026-05-21T10:53:06+02:00</t>
  </si>
  <si>
    <t>Forældrene har ret: Vi skylder en tydelig plan for dagtilbuddene</t>
  </si>
  <si>
    <t>Theis Rubinke Sørensen, Snærild Bakke 69, formand for Udvalget for Skole, Dagtilbud og Børneliv, Odder Kommune</t>
  </si>
  <si>
    <t>art_799f19641304</t>
  </si>
  <si>
    <t>2026-05-29T13:43:19.465376+00:00</t>
  </si>
  <si>
    <t>2026-05-21T06:30:00+02:00</t>
  </si>
  <si>
    <t>Tina må gerne vise sin hobby frem - også selvom hun er førtidspensionist</t>
  </si>
  <si>
    <t>Tina Friis fra Langeskov er førtidspensionist - og har på Tiktok mange følgere , der ser hende lave perleprojekter. Foto: Jonas Holme Kej</t>
  </si>
  <si>
    <t>art_03fa7e8fe5c7</t>
  </si>
  <si>
    <t>2026-05-29T13:41:53.141638+00:00</t>
  </si>
  <si>
    <t>2026-05-21T04:03:14.881300+00:00</t>
  </si>
  <si>
    <t>Analyse rammer et ømt punkt: Nordjylland mangler stadig at samle sine vækstambitioner</t>
  </si>
  <si>
    <t>Martin Rune Hoxer</t>
  </si>
  <si>
    <t>art_2779791a4cde</t>
  </si>
  <si>
    <t>2026-05-29T13:44:07.166238+00:00</t>
  </si>
  <si>
    <t>2026-05-20T16:02:00+02:00</t>
  </si>
  <si>
    <t>Læserbrev: Ulven kommer - ja!</t>
  </si>
  <si>
    <t>Ulvens tilstedeværelse i den danske natur vækker på ingen måde Ib Lorentzens begejstring. Arkivfoto</t>
  </si>
  <si>
    <t>Ib Lorentzen, Randersvej 26, 8800 Viborg</t>
  </si>
  <si>
    <t>art_1e437882199a</t>
  </si>
  <si>
    <t>2026-05-29T13:42:46.006206+00:00</t>
  </si>
  <si>
    <t>2026-05-20T13:13:00+02:00</t>
  </si>
  <si>
    <t>Kære politikere - vores liv ligger i jeres hænder</t>
  </si>
  <si>
    <t>Dorthe Stief Christensen, Gartnervænget 6, Neder Randlev, Socialrådgiver</t>
  </si>
  <si>
    <t>art_723a29faa3dd</t>
  </si>
  <si>
    <t>2026-05-29T13:42:46.973834+00:00</t>
  </si>
  <si>
    <t>2026-05-20T12:46:22+02:00</t>
  </si>
  <si>
    <t>Hvor må det være fristende for partilederne at forestille sig et alfabet uden et M</t>
  </si>
  <si>
    <t>art_20e0ef9baef6</t>
  </si>
  <si>
    <t>2026-05-29T13:43:22.075081+00:00</t>
  </si>
  <si>
    <t>art_d76ef2911729</t>
  </si>
  <si>
    <t>2026-05-29T13:43:24.224495+00:00</t>
  </si>
  <si>
    <t>2026-05-20T11:32:05+02:00</t>
  </si>
  <si>
    <t>Kommunalt benspænd</t>
  </si>
  <si>
    <t>Friluftsbadet i Glamsbjerg. Arkivfoto: Søren Plovgaard</t>
  </si>
  <si>
    <t>Poul Erik Kristiansen, Mågevej 5, Glamsbjerg</t>
  </si>
  <si>
    <t>art_07aab08913d2</t>
  </si>
  <si>
    <t>2026-05-29T13:41:53.492896+00:00</t>
  </si>
  <si>
    <t>2026-05-20T05:02:58.463735+00:00</t>
  </si>
  <si>
    <t>Mor i Hjørring: Folkeskolen betaler prisen for kommunens fejlslagne prioriteringer</t>
  </si>
  <si>
    <t>Kir(stine) Møller</t>
  </si>
  <si>
    <t>art_23327705e2b5</t>
  </si>
  <si>
    <t>velfærd, uddannelse</t>
  </si>
  <si>
    <t>Velfærdsstatens grænser, Konflikt/debat, Højrelevant tema, Flere temaer, Regional debat med national vinkel</t>
  </si>
  <si>
    <t>2026-05-29T13:41:53.668592+00:00</t>
  </si>
  <si>
    <t>2026-05-20T05:02:56.684012+00:00</t>
  </si>
  <si>
    <t>Læser: Derfor står Bob Dylans ‘Mr. Tambourine Man’ øverst på min hitliste</t>
  </si>
  <si>
    <t>Frederik Hammerich Nielson</t>
  </si>
  <si>
    <t>art_2d2129e52cf4</t>
  </si>
  <si>
    <t>2026-05-29T13:41:53.856686+00:00</t>
  </si>
  <si>
    <t>2026-05-20T05:02:52.561083+00:00</t>
  </si>
  <si>
    <t>Læserbrev: Asbest fra gamle depoter kan blive et overset problem ved Egholm-motorvej</t>
  </si>
  <si>
    <t>Heine Svarrer</t>
  </si>
  <si>
    <t>art_d51fcb65676d</t>
  </si>
  <si>
    <t>steder:Egholm</t>
  </si>
  <si>
    <t>2026-05-29T13:43:25.393992+00:00</t>
  </si>
  <si>
    <t>2026-05-19T20:00:00+02:00</t>
  </si>
  <si>
    <t>Skurvognsbyen: - Det klæder ikke debatten, når fokus flyttes fra indhold til forargelse over ét ord</t>
  </si>
  <si>
    <t>Vibeke Ejlertsen (Socialdemokratiet), byrådsmedlem i Nyborg Kommune giver et indspark til den nuværende debat om opstillet skurvognsby. Foto: Michael Bager</t>
  </si>
  <si>
    <t>Vibeke Ejlertsen (S), byrådsmedlem</t>
  </si>
  <si>
    <t>art_fb041c0db8b5</t>
  </si>
  <si>
    <t>Velfærdsstatens grænser, Kendt aktør, Højrelevant tema, Flere temaer, Regional debat med national vinkel</t>
  </si>
  <si>
    <t>2026-05-29T13:44:08.219177+00:00</t>
  </si>
  <si>
    <t>2026-05-19T18:18:00+02:00</t>
  </si>
  <si>
    <t>Læserbrev fra tidligere lærer: Festival var en snoldet fejring af Viborg Katedralskole</t>
  </si>
  <si>
    <t>Nuværende og tidligere elever kunne forleden indløse billet til VK Festival i anledning af katedralskolebygningens 100 års jubilæum. Arkivfoto: Johnny Pedersen</t>
  </si>
  <si>
    <t>Jørgen Junker Grimstrup, Videbechs Alle 12, 8800 Viborg</t>
  </si>
  <si>
    <t>art_54f75f953a2a</t>
  </si>
  <si>
    <t>2026-05-29T13:43:28.016316+00:00</t>
  </si>
  <si>
    <t>2026-05-19T16:36:00+02:00</t>
  </si>
  <si>
    <t>For abonnenter Alle de andre blev revet ned: Her er Vejles sidste købmandsgård</t>
  </si>
  <si>
    <t>I 1985 blev Den Smidtske Gård genindviet efter en omfattende og gennemgribende renovering, der skulle fremtidssikre de smukke bygninger. Med sine specialbutikker og café er Den Smidtske Gård et af de mest populære mødesteder i nutidens Vejle. Arkiv: Lars Ringholm</t>
  </si>
  <si>
    <t>art_10d321a1ef0d</t>
  </si>
  <si>
    <t>2026-05-29T13:43:53.577062+00:00</t>
  </si>
  <si>
    <t>2026-05-19T16:35:00+02:00</t>
  </si>
  <si>
    <t>Gør noget: Ulvene må blive opgave nummer 1 for ny minister</t>
  </si>
  <si>
    <t>Bjarne Lindquist Bentsen, journalist. Foto: Hans Chr. Gabelgaard</t>
  </si>
  <si>
    <t>art_b23eba4b57f9</t>
  </si>
  <si>
    <t>2026-05-29T13:43:54.699540+00:00</t>
  </si>
  <si>
    <t>2026-05-19T16:10:16+02:00</t>
  </si>
  <si>
    <t>Anbringelse af børn - et systemisk svigt</t>
  </si>
  <si>
    <t>Skribenten bag læserbrevet mener ikke, at det er godt nok, at der ifølge Rigsrevisionen sker fejl i 69 procent af anbringelsessager. Foto: Ida Guldbæk Arentsen/Ritzau Scanpix</t>
  </si>
  <si>
    <t>Jens Hansen, Teaterstien 6 st. tv., 6100 Haderslev</t>
  </si>
  <si>
    <t>art_87d1ff1aecbe</t>
  </si>
  <si>
    <t>Borger mod system, Konflikt/debat, Højrelevant tema, Regional debat med national vinkel</t>
  </si>
  <si>
    <t>2026-05-29T13:43:26.474320+00:00</t>
  </si>
  <si>
    <t>2026-05-19T07:00:00+02:00</t>
  </si>
  <si>
    <t>Opmærksomheden samler sig om de store festivaler, men bredden i kulturlivet skabes af de små</t>
  </si>
  <si>
    <t>Magiske Dage i Odense er et højdepunkt for mange. Foto: Michael Bager</t>
  </si>
  <si>
    <t>art_4d000a92f6d7</t>
  </si>
  <si>
    <t>2026-05-29T13:43:55.684138+00:00</t>
  </si>
  <si>
    <t>2026-05-18T16:05:44+02:00</t>
  </si>
  <si>
    <t>Indtrængende appel</t>
  </si>
  <si>
    <t>Jens Bejer Clausen, Borrebjergvel 7, 6792 Rømø</t>
  </si>
  <si>
    <t>art_658cdc39e98c</t>
  </si>
  <si>
    <t>2026-05-29T13:42:49.168768+00:00</t>
  </si>
  <si>
    <t>2026-05-18T10:51:30+02:00</t>
  </si>
  <si>
    <t>DR har et år til at få proportionerne for Melodi Grand Prix på plads. Og vi andre har fred så længe</t>
  </si>
  <si>
    <t>art_b37194be7221</t>
  </si>
  <si>
    <t>2026-05-29T13:43:29.863132+00:00</t>
  </si>
  <si>
    <t>art_92eb34ba9e21</t>
  </si>
  <si>
    <t>2026-05-29T13:42:48.027209+00:00</t>
  </si>
  <si>
    <t>2026-05-18T06:23:00+02:00</t>
  </si>
  <si>
    <t>Drop placeringen på Pier 3 – men hold fast i drømmen om et museum i superligaen</t>
  </si>
  <si>
    <t>Aarhus skal have et nyt science museum i topklasse, men det skal ikke være på Pier 3. Så kollapser den i forvejen skrøbelige fremkommelighed på Aarhus Ø. Foto: Kim Haugaard</t>
  </si>
  <si>
    <t>art_2b19397edd85</t>
  </si>
  <si>
    <t>2026-05-29T13:43:31.110733+00:00</t>
  </si>
  <si>
    <t>2026-05-17T19:22:00+02:00</t>
  </si>
  <si>
    <t>Jelling Musikfestival handler om meget mere end musik, kærester og alkohol</t>
  </si>
  <si>
    <t>Selvfølgelig handler det om musik, når Jelling Musikfestival afvikles i pinsen. Men det handler også om noget meget større, skriver chefredaktør Peter Hagmund. Foto: Mette Mørk</t>
  </si>
  <si>
    <t>art_e3b363ae8d22</t>
  </si>
  <si>
    <t>2026-05-29T13:44:08.365235+00:00</t>
  </si>
  <si>
    <t>2026-05-17T13:59:00+02:00</t>
  </si>
  <si>
    <t>Læserbrev: Viborg kan blive et stærkt midtjysk kraftcenter</t>
  </si>
  <si>
    <t>Karen Touborg, erhvervsdirektør i Business Viborg. Pr-foto</t>
  </si>
  <si>
    <t>Karen Touborg, erhvervsdirektør i Business Viborg</t>
  </si>
  <si>
    <t>art_15d289e7411d</t>
  </si>
  <si>
    <t>2026-05-29T13:43:33.440285+00:00</t>
  </si>
  <si>
    <t>2026-05-17T10:00:00+02:00</t>
  </si>
  <si>
    <t>Naturen vandt over Ring 3 Vest</t>
  </si>
  <si>
    <t>I kommunalvalgkampen stillede Venstre et forslag om at etablere Ring 3 Vest i Odense. Ringvejen skulle gå fra Fynske Motorvej E20 igennem nogle af Odenses bedste grundvandsressourcer ved Elmelund Skov (billedet), gennem fin natur ved Ryds Ådal og videre gennem Stavis Ådal for at ramme Bogensevej i nord. Foto: Michael Bager</t>
  </si>
  <si>
    <t>Lokalpolitiker i Odense Jeppe Larsen (S)</t>
  </si>
  <si>
    <t>art_76e6712e65e7</t>
  </si>
  <si>
    <t>2026-05-29T13:43:32.304281+00:00</t>
  </si>
  <si>
    <t>2026-05-17T09:00:00+02:00</t>
  </si>
  <si>
    <t>De gør noget helt specielt og meget vigtigt: Stor tak for Dennis, Ingrid og Jørgen</t>
  </si>
  <si>
    <t>Godsinspektør Dennis Stentebjerg Hansen og parret Ingrid Henriksen og Jørgen Bjerring skal have styr tak for deres store indsats for fynsk bygningskultur og historie Fotos: Kristine Harter og Cecilie Anne Spottog Petersen</t>
  </si>
  <si>
    <t>art_4b84d0fd6a3c</t>
  </si>
  <si>
    <t>2026-05-29T13:43:34.598176+00:00</t>
  </si>
  <si>
    <t>2026-05-17T07:24:00+02:00</t>
  </si>
  <si>
    <t>For abonnenter Befriende ærlig direktør i VB: ”Det var en elendig sæson”</t>
  </si>
  <si>
    <t>art_a140788908ca</t>
  </si>
  <si>
    <t>2026-05-29T13:42:50.091195+00:00</t>
  </si>
  <si>
    <t>2026-05-17T06:14:00+02:00</t>
  </si>
  <si>
    <t>Vi har vænnet os til noget, der burde skabe ramaskrig</t>
  </si>
  <si>
    <t>Det er i sidste ende forværrende for patienternes forløb, at de er nødt til at være indlagt på dobbeltstuer, fortæller ansatte i psykiatrien på Aarhus Universitetshospital. Foto/Grafik: Alberte Kaltoft</t>
  </si>
  <si>
    <t>art_4e6ed6902197</t>
  </si>
  <si>
    <t>2026-05-29T13:44:08.548058+00:00</t>
  </si>
  <si>
    <t>2026-05-16T18:58:00+02:00</t>
  </si>
  <si>
    <t>Læserbrev: Tjele Venstre vil sikre rent drikkevand til Tjele-egnens borgere</t>
  </si>
  <si>
    <t>Tjele Venstre vil sikre rent drikkevand til borgerne i området. Arkivfoto: Morten Pedersen</t>
  </si>
  <si>
    <t>Knud Erik Navntoft, Hobrovej 60, Tjele, og Nancy Knudsen, Tjele Møllevej 22, Tjele, begge fra Tjele Venstre</t>
  </si>
  <si>
    <t>art_4cd236812078</t>
  </si>
  <si>
    <t>Frit valg/liberale værdier, Borger mod system, Kendt aktør, Højrelevant tema, Flere temaer, Regional debat med national vinkel</t>
  </si>
  <si>
    <t>2026-05-29T13:44:09.603078+00:00</t>
  </si>
  <si>
    <t>2026-05-16T09:57:00+02:00</t>
  </si>
  <si>
    <t>Læserbrev: Vi vil have glade grise under åben himmel</t>
  </si>
  <si>
    <t>Søndag 17. maj er det muligt at deltage i sofari flere steder i landet for at opleve grise på friland. Arkivfoto: Morten Stricker</t>
  </si>
  <si>
    <t>Britta Riis, direktør i Dyrenes Beskyttelse, samt Rasmus Prehn, direktør i Økologisk Landsforening og tidligere fødevareminister</t>
  </si>
  <si>
    <t>art_67204504ff7b</t>
  </si>
  <si>
    <t>2026-05-29T13:43:38.283400+00:00</t>
  </si>
  <si>
    <t>2026-05-16T09:30:00+02:00</t>
  </si>
  <si>
    <t>Efter chok og kæberasler fra Novo Nordisk og Vestas: Fyn skal ikke reddes af giganter udefra</t>
  </si>
  <si>
    <t>SDU fylder godt i landskabet, når det handler om at sikre Fyn og resten af Syddanmark vækst og fremgang. Foto: Michael Bager</t>
  </si>
  <si>
    <t>art_a22afced1c3f</t>
  </si>
  <si>
    <t>2026-05-29T13:44:11.005959+00:00</t>
  </si>
  <si>
    <t>2026-05-15T18:56:00+02:00</t>
  </si>
  <si>
    <t>Læserbrev: Selvforsyning på årsplan er en dårlig energi- og klimapolitik</t>
  </si>
  <si>
    <t>At sætte det som mål, at kommunens elproduktion på årsplan skal svare til elforbruget, er ikke nogen god ide, skriver Morten Sørensen. Arkivfoto: Viborg Kommune</t>
  </si>
  <si>
    <t>Morten Sørensen, V. Børstingvej 20, 7800 Skive</t>
  </si>
  <si>
    <t>art_b8f85bce8591</t>
  </si>
  <si>
    <t>klima_og_miljø, velfærd, ret_og_retsstat</t>
  </si>
  <si>
    <t>Velfærdsstatens grænser, Højrelevant tema, Flere temaer, Regional debat med national vinkel</t>
  </si>
  <si>
    <t>2026-05-29T13:43:35.784070+00:00</t>
  </si>
  <si>
    <t>2026-05-15T13:31:27+02:00</t>
  </si>
  <si>
    <t>Et svinegodt tilbud: Kom glad</t>
  </si>
  <si>
    <t>Åbn en gårdbutik med tilhørende slagteri. Så kan man sælge beskadigede udskæringer til ekstra nedsat pris. Derved slipper man for at transportere dem til slagtning i Polen eller Italien Arkivfoto: Hans Østergaard.</t>
  </si>
  <si>
    <t>Hans-Erik Funch Andersen, Rantzausmindevej 118, Svendborg</t>
  </si>
  <si>
    <t>art_0803bd07a9b3</t>
  </si>
  <si>
    <t>2026-05-29T13:44:12.069736+00:00</t>
  </si>
  <si>
    <t>2026-05-14T09:33:00+02:00</t>
  </si>
  <si>
    <t>Læserbrev: Det handler om ordentlighed – også når det er svært!</t>
  </si>
  <si>
    <t>Møllehøjskolen, hvor Arnbjergs elever fremadrettet ikke skal gå. Arkivfoto: Ole Bjærge</t>
  </si>
  <si>
    <t>Kasper Drimer Berg, Dunhammeren 14, Viborg</t>
  </si>
  <si>
    <t>art_0917a4737ec8</t>
  </si>
  <si>
    <t>2026-05-29T13:43:39.531438+00:00</t>
  </si>
  <si>
    <t>2026-05-14T08:33:00+02:00</t>
  </si>
  <si>
    <t>Fyens Stiftstidende svigtede lønmodtagerne på 1. maj</t>
  </si>
  <si>
    <t>1. maj i Kongens Have i Odense. Foto: Michael Bager.</t>
  </si>
  <si>
    <t>Carsten Kringelum Duus, Stadionvej 62, 4. sal, Odense V, næstformand Blik &amp; Rør Kreds Sydjylland-Fyn</t>
  </si>
  <si>
    <t>art_1e51b2b0cfae</t>
  </si>
  <si>
    <t>2026-05-29T13:42:51.198761+00:00</t>
  </si>
  <si>
    <t>2026-05-14T06:56:00+02:00</t>
  </si>
  <si>
    <t>Hvad er planen for vores daginstitutioner?</t>
  </si>
  <si>
    <t>Trine Østergaard Nielsen, Lundevej 25, på vegne af forældrerepræsentanterne i forældrebestyrelsen i Dagtilbud Midt og Syd</t>
  </si>
  <si>
    <t>art_a23ef381c077</t>
  </si>
  <si>
    <t>2026-05-29T13:44:13.106081+00:00</t>
  </si>
  <si>
    <t>2026-05-13T19:32:00+02:00</t>
  </si>
  <si>
    <t>Læserbrev: Bevaringsværdige bygninger må ikke fjernes, fordi de står i vejen</t>
  </si>
  <si>
    <t>Dumpen 2 skal muligvis rives ned. Foto: Andreas Søndergaard</t>
  </si>
  <si>
    <t>Ole Capion, formand, Viborg Midtby Forum</t>
  </si>
  <si>
    <t>art_61f21d898f22</t>
  </si>
  <si>
    <t>2026-05-29T13:43:36.931193+00:00</t>
  </si>
  <si>
    <t>2026-05-13T16:00:00+02:00</t>
  </si>
  <si>
    <t>Efter chokmelding fra Novo Nordisk: Odense skal gøres attraktiv</t>
  </si>
  <si>
    <t>Når en virksomhed som Novo Nordisk møder udfordringer og drosler ned, rammer det hele økosystemet omkring den. Arkivfoto: Kasper Riggelsen</t>
  </si>
  <si>
    <t>Lars Christian Lilleholt – Rådmand By- og Kulturforvaltningen, Venstre, Tommy Hummelmose – Politisk ordfører, Konservative</t>
  </si>
  <si>
    <t>art_39a64ac546ac</t>
  </si>
  <si>
    <t>Kritik af formynderi, Borger mod system, Højrelevant tema, Flere temaer, Regional debat med national vinkel</t>
  </si>
  <si>
    <t>2026-05-29T13:43:40.694380+00:00</t>
  </si>
  <si>
    <t>2026-05-13T15:00:00+02:00</t>
  </si>
  <si>
    <t>Medicinalgigant smider bombe på Fyn: Hede Novo Nordisk-drømme er reduceret til en lagerbygning</t>
  </si>
  <si>
    <t>Forventningerne var tårnhøje, da det kom frem, at Novo Nordisk ville etablere sig i Tietgenbyen ved Odense. Men her inden faciliteterne er nået at blive taget i brug, er der blevet skåret voldsomt til i de aktiviteter, som skal finde sted her på Fyn. Arkivfoto: Birgitte Carol Heiberg.</t>
  </si>
  <si>
    <t>art_cdf91c583bfa</t>
  </si>
  <si>
    <t>2026-05-29T13:42:53.058776+00:00</t>
  </si>
  <si>
    <t>2026-05-13T08:58:21+02:00</t>
  </si>
  <si>
    <t>Kære rektorer: Smid dem ud. Dét ville være et konkret eksempel på, hvad det vil sige at være dansk</t>
  </si>
  <si>
    <t>art_284e7e31077d</t>
  </si>
  <si>
    <t>2026-05-29T13:42:53.991947+00:00</t>
  </si>
  <si>
    <t>2026-05-13T08:14:00+02:00</t>
  </si>
  <si>
    <t>At politiet lyver os direkte op i ansigtet er alligevel det værste</t>
  </si>
  <si>
    <t>I cirka 5.900 sager om personfarlig kriminalitet er der ikke foretaget et eneste efterforskningsskridt, før politiet har lukket sagen, viser en undersøgelse fra Rigsrevisionen. Foto: Bo Amstrup/Ritzau Scanpix</t>
  </si>
  <si>
    <t>art_8b66a048e98b</t>
  </si>
  <si>
    <t>2026-05-29T13:43:59.341724+00:00</t>
  </si>
  <si>
    <t>2026-05-12T17:42:00+02:00</t>
  </si>
  <si>
    <t>ANALYSE At de tør: Hvad vil de folkevalgte gøre, hvis det bliver til et, "tja, måske kan det gå"</t>
  </si>
  <si>
    <t>Journalist Ole Bjærge, Viborg Stift Folkeblad. Foto: Johnny Pedersen</t>
  </si>
  <si>
    <t>art_32d73bf1c0ac</t>
  </si>
  <si>
    <t>2026-05-29T13:44:13.948916+00:00</t>
  </si>
  <si>
    <t>2026-05-12T17:41:00+02:00</t>
  </si>
  <si>
    <t>Læserbrev: Hvorfor rive den ned?</t>
  </si>
  <si>
    <t>Poul Møller, Århusvej 34, 8840 Rødkærsbro</t>
  </si>
  <si>
    <t>art_60a641786873</t>
  </si>
  <si>
    <t>2026-05-29T13:42:56.013705+00:00</t>
  </si>
  <si>
    <t>2026-05-12T14:04:28+02:00</t>
  </si>
  <si>
    <t>Hvis Thorkild Fogde var fodboldtræner eller topchef i det private, var han fyret for længst</t>
  </si>
  <si>
    <t>art_f84e6f5e86c7</t>
  </si>
  <si>
    <t>2026-05-29T13:44:16.020728+00:00</t>
  </si>
  <si>
    <t>2026-05-11T08:17:18+02:00</t>
  </si>
  <si>
    <t>Læserbrev: Viborg Kommune mangler hjemmel til at flytte optagne børn fra Møllehøjskolen</t>
  </si>
  <si>
    <t>Forældre i Arnbjerg mener ikke, at der er lovhjemmel til at flytte børn fra én skolen til en anden. Foto: Jesper Aagaard, Earvox</t>
  </si>
  <si>
    <t>Forældre i Arnbjerg: Heidi Grubbe Koch, Jacob Lyskjær Frølund, Jakob Forum Harritz og Gry Lee Rossing Christensen</t>
  </si>
  <si>
    <t>art_9dd61509256c</t>
  </si>
  <si>
    <t>velfærd, uddannelse, ret_og_retsstat</t>
  </si>
  <si>
    <t>2026-05-29T13:44:17.074509+00:00</t>
  </si>
  <si>
    <t>2026-05-10T17:42:00+02:00</t>
  </si>
  <si>
    <t>Når “mos-sagen” handler om langt mere end mos</t>
  </si>
  <si>
    <t>Stine Isaksen. Arkivfoto: Johnny Pedersen</t>
  </si>
  <si>
    <t>Stine Isaksen, byrådsmedlem, Alternativet</t>
  </si>
  <si>
    <t>art_4427fee1b443</t>
  </si>
  <si>
    <t>2026-05-29T13:42:57.382693+00:00</t>
  </si>
  <si>
    <t>2026-05-10T14:49:00+02:00</t>
  </si>
  <si>
    <t>Skraldespande spares væk, mens kommunen betaler for godsejers ulovligheder</t>
  </si>
  <si>
    <t>Lisbeth Eilenberger, Holsteinsgade 10A, Odder</t>
  </si>
  <si>
    <t>art_f48051d65f48</t>
  </si>
  <si>
    <t>velfærd, ret_og_retsstat</t>
  </si>
  <si>
    <t>2026-05-29T13:44:18.133473+00:00</t>
  </si>
  <si>
    <t>2026-05-10T09:30:00+02:00</t>
  </si>
  <si>
    <t>Læserbrev: Fire millioner kroner er mange penge i en folkeskolevirkelighed</t>
  </si>
  <si>
    <t>Møllehøjskolen er presset på plads, derfor er der god grund til at ændre skoledistriktet, mener Maria Bertelsen Grann. Arkivfoto: Ole Bjærge</t>
  </si>
  <si>
    <t>Maria Bertelsen Grann, Ørnehøjvej 5, 8831 Løgstrup</t>
  </si>
  <si>
    <t>art_3a03c3e06f2e</t>
  </si>
  <si>
    <t>uddannelse, kultur_og_medier</t>
  </si>
  <si>
    <t>2026-05-29T13:42:58.421663+00:00</t>
  </si>
  <si>
    <t>2026-05-09T14:45:00+02:00</t>
  </si>
  <si>
    <t>Lad os give børnene i Odder en tobaks- og nikotinfri start på livet</t>
  </si>
  <si>
    <t>Bent Olsen, Østergade 35D 2 th, Odder, formand for Kræftens Bekæmpelse i Odder</t>
  </si>
  <si>
    <t>art_89e3cf9abcd4</t>
  </si>
  <si>
    <t>2026-05-29T13:44:19.136513+00:00</t>
  </si>
  <si>
    <t>2026-05-09T12:29:00+02:00</t>
  </si>
  <si>
    <t>Læserbrev: Når den skarpe pen bliver lidt for skarp hos journalisten</t>
  </si>
  <si>
    <t>Malena Møller Mortensen, Det Konservative Folkeparti. Arkivfoto: Johnny Pedersen</t>
  </si>
  <si>
    <t>Simon Højer og Malena Møller Mortensen, medlemmer af social og sundhedsudvalget i Viborg Byråd for Det Konservative Folkeparti</t>
  </si>
  <si>
    <t>art_7e496af9dd1f</t>
  </si>
  <si>
    <t>partier:Konservative</t>
  </si>
  <si>
    <t>2026-05-29T13:43:00.537366+00:00</t>
  </si>
  <si>
    <t>2026-05-09T09:24:00+02:00</t>
  </si>
  <si>
    <t>Når man kan bygge de højeste bygninger i Danmark, så kan man også have lys på byens bedste løberuter</t>
  </si>
  <si>
    <t>Niklas Katberg er en af Aarhus' mange løbere, og han undrer sig højlydt over manglende lys på flere af byens bedste løberuter. Foto: Christian Olesen</t>
  </si>
  <si>
    <t>art_d8cfd512713c</t>
  </si>
  <si>
    <t>2026-05-29T13:44:20.933549+00:00</t>
  </si>
  <si>
    <t>2026-05-08T15:01:00+02:00</t>
  </si>
  <si>
    <t>Læserbrev: Viborg Kommune bør søge efter uvildig ekspertise i Sverige</t>
  </si>
  <si>
    <t>Generalforsamling i Foreningen til Bevarelse af Tange Sø. Arkivfoto: Johnny Pedersen</t>
  </si>
  <si>
    <t>Bjarne Nilsson, Lindevej 24, 8850 Bjerringbro</t>
  </si>
  <si>
    <t>art_3bf0a271843b</t>
  </si>
  <si>
    <t>velfærd, eu_og_udland</t>
  </si>
  <si>
    <t>steder:Sverige</t>
  </si>
  <si>
    <t>2026-05-29T13:43:01.508299+00:00</t>
  </si>
  <si>
    <t>2026-05-08T14:01:00+02:00</t>
  </si>
  <si>
    <t>Tag vores vej tilbage, kommune - den skulle aldrig have været privat</t>
  </si>
  <si>
    <t>"Det er nu op til byrådet at gøre skaden god igen. Og den eneste måde, det kan ske på, er ved at tilbagekalde beslutningen om nedklassificeringen af de 900 veje", skriver Bent Hansen. Arkivfoto: Kirstine Lefevre Sckerl</t>
  </si>
  <si>
    <t>Bent Hansen, Lystrup</t>
  </si>
  <si>
    <t>art_9b45f3f9ff83</t>
  </si>
  <si>
    <t>2026-05-29T13:44:21.797725+00:00</t>
  </si>
  <si>
    <t>2026-05-08T09:01:00+02:00</t>
  </si>
  <si>
    <t>Læserbrev: Nej tak til sundhedsstyrelsesmad og dårligt tilberedt mad fra Madservice</t>
  </si>
  <si>
    <t>Jørgen Junker Grimstrup er ikke tilfreds med den seneste udmelding vedrørende maden fra Madservice Viborg. Arkivfoto: Ole Bjærge</t>
  </si>
  <si>
    <t>art_0f907da3ccc7</t>
  </si>
  <si>
    <t>Borger mod system, Højrelevant tema, Regional debat med national vinkel</t>
  </si>
  <si>
    <t>2026-05-29T13:44:22.645161+00:00</t>
  </si>
  <si>
    <t>2026-05-07T18:59:00+02:00</t>
  </si>
  <si>
    <t>Læserbrev: Kønsulighed i toppen – ja, men hvad er problemet?</t>
  </si>
  <si>
    <t>På direktionsgangen på Viborg Rådhus er hovedparten mænd, og det har skabt en debat om kønsfordelingen. Arkivfoto: Johnny Pedersen.</t>
  </si>
  <si>
    <t>Kell Schellerup, Søndersøparken 17b 1. 1, 8800 Viborg</t>
  </si>
  <si>
    <t>art_a7d42adee3d1</t>
  </si>
  <si>
    <t>2026-05-29T13:44:23.564278+00:00</t>
  </si>
  <si>
    <t>2026-05-07T14:54:23+02:00</t>
  </si>
  <si>
    <t>Læserbrev: Hæder til Finn Bach er helt på sin plads</t>
  </si>
  <si>
    <t>Finn Bach (på billedet) fortjener fuld hæder for sin indsats, påpeger Kurt Jürgensen. Arkivfoto: Johnny Pedersen</t>
  </si>
  <si>
    <t>Kurt Jürgensen, Skovfyrren 4, 8800 Viborg</t>
  </si>
  <si>
    <t>art_56c0511e98ca</t>
  </si>
  <si>
    <t>2026-05-29T13:43:02.452932+00:00</t>
  </si>
  <si>
    <t>2026-05-07T06:00:00+02:00</t>
  </si>
  <si>
    <t>Luddovne byboere vil ikke gå mere end ti skridt - og det er simpelthen for privilegeret</t>
  </si>
  <si>
    <t>Når det er værst, er det bedst for mågerne. Foto: Jens Thaysen</t>
  </si>
  <si>
    <t>art_4a8c1ebc657e</t>
  </si>
  <si>
    <t>2026-05-29T13:44:24.659735+00:00</t>
  </si>
  <si>
    <t>2026-05-06T19:30:00+02:00</t>
  </si>
  <si>
    <t>Læserbrev: 400 lastbiler skovvej og privat vej hver dag</t>
  </si>
  <si>
    <t>Antallet af lastbiltransporter til og fra biogasanlægget ved Vinge vil give problemer for nogle mindre veje, skriver Nancy Knudsen og Birthe Harritz. Arkivfoto: Hans Chr. Gabelgaard</t>
  </si>
  <si>
    <t>Nancy Knudsen, Tjele Møllevej 22, Vammen, og Birthe Harritz, Tjelevej 6, Ørum</t>
  </si>
  <si>
    <t>art_68a7742b08a5</t>
  </si>
  <si>
    <t>2026-05-29T13:44:25.654682+00:00</t>
  </si>
  <si>
    <t>2026-05-06T16:30:00+02:00</t>
  </si>
  <si>
    <t>Læserbrev: En viborgenser vi alle kan være stolte af</t>
  </si>
  <si>
    <t>Oven på navngivningen af Finn Bachs Plads foreslår Erik Petersen, at viborgenseren Peter Aarestrup hædres. Arkivfoto: Ole Bjærge</t>
  </si>
  <si>
    <t>Erik Petersen, Høgevej 5, 8800 Viborg</t>
  </si>
  <si>
    <t>art_3ee184b6d689</t>
  </si>
  <si>
    <t>2026-05-29T13:43:03.481625+00:00</t>
  </si>
  <si>
    <t>2026-05-06T07:45:00+02:00</t>
  </si>
  <si>
    <t>Nu stopper det: Kinda dansk, kinda engelsk – helt udvandet</t>
  </si>
  <si>
    <t>De unges sprogvaner ændrer sig. Især engelske gloser har for alvor gjort sit indtog, og det vil Dansk Sprognævn nu gøre op med. Foto: REUTERS/Hollie Adams/Illustration</t>
  </si>
  <si>
    <t>art_3770dde803c0</t>
  </si>
  <si>
    <t>2026-05-29T13:43:05.366604+00:00</t>
  </si>
  <si>
    <t>2026-05-05T19:00:00+02:00</t>
  </si>
  <si>
    <t>Jeg kom forbi et skilt og opdagede noget vigtigt - herude i oplandet</t>
  </si>
  <si>
    <t>"For den, der bor i en by i oplandet, er det ikke midtbyen, der er omdrejningspunktet i hverdagen. Det er det lokale: skolen, daginstitutionen, butikkerne, fritidslivet, foreningerne", skriver Lone Hindø. Privatfoto</t>
  </si>
  <si>
    <t>Lone Hindø, Harlev, præst, forhenværende rådkvinde i Aarhus Byråd</t>
  </si>
  <si>
    <t>art_976b7cd27b83</t>
  </si>
  <si>
    <t>uddannelse, lokalsamfund_og_landdistrikter</t>
  </si>
  <si>
    <t>2026-05-29T13:43:59.522992+00:00</t>
  </si>
  <si>
    <t>2026-04-04T08:57:00+02:00</t>
  </si>
  <si>
    <t>Kan man åbne en øl med andres død?</t>
  </si>
  <si>
    <t>Journalist Christine Krüger Hansen, Viborg Stift Folkeblad. Foto: Johnny Pedersen</t>
  </si>
  <si>
    <t>art_0303f11cb81b</t>
  </si>
  <si>
    <t>2026-05-29T13:44:01.700415+00:00</t>
  </si>
  <si>
    <t>2026-03-11T08:47:28+01:00</t>
  </si>
  <si>
    <t>Læserbrev: Erhvervsvenlighed for alle – ikke kun enkelte</t>
  </si>
  <si>
    <t>En stribe byrådsmedlemmer svarer nu tilbage i debatten om erhvervsvenlighed. Arkivfoto: Johnny Pedersen</t>
  </si>
  <si>
    <t>art_6bc08b6943b9</t>
  </si>
  <si>
    <t>2026-05-29T13:44:14.991745+00:00</t>
  </si>
  <si>
    <t>2026-02-05T13:14:08+01:00</t>
  </si>
  <si>
    <t>For abonnenter Dagens leder: Så blev dataindustrien alligevel en guldgrube</t>
  </si>
  <si>
    <t>Grundfos har fundet nye markeder - datacenterindustrien eksempelvis. På billedet ses virksomhedens kommende domicil i Bjerringbro. Arkivfoto: Johnny Pedersen</t>
  </si>
  <si>
    <t>art_5d30a19893ab</t>
  </si>
  <si>
    <t>politik, teknologi_og_ai, økonomi_og_erhverv</t>
  </si>
  <si>
    <t>2026-05-29T13:44:20.020677+00:00</t>
  </si>
  <si>
    <t>2026-01-03T15:48:00+01:00</t>
  </si>
  <si>
    <t>Læserbrev: Skulle vi prøve at få fokus på bolden - det er dét vi er her for</t>
  </si>
  <si>
    <t>Pernille Dam Marcussen har allerede været meget igennem, siden hun blev valgt til byrådet, skriver hun blandt andet i dette læserbrev. Arkivfoto: Johnny Pedersen</t>
  </si>
  <si>
    <t>Pernille Dam Marcussen, løsgænger i Viborg Byråd</t>
  </si>
  <si>
    <t>art_f0357cb8dea9</t>
  </si>
  <si>
    <t>2026-05-29T13:42:09.340058+00:00</t>
  </si>
  <si>
    <t>2022-07-31T18:45:00+00:00</t>
  </si>
  <si>
    <t>Lad de unge få fred, og lad os sammen normalisere udsvingene, som livet bringer</t>
  </si>
  <si>
    <t>Vi forældre skal ikke reagere med ekstra opmærksomhed og bekymring, så snart vi ser en krusning i de unges humør. At føle ubehag, usikkerhed og tristhed er en helt almindelig del af det at være menneske</t>
  </si>
  <si>
    <t>Vanessa Pröschold</t>
  </si>
  <si>
    <t>art_1c1c933da7c3</t>
  </si>
  <si>
    <t>2026-05-29T13:43:42.058150+00:00</t>
  </si>
  <si>
    <t>2019-10-09T14:26:00+02:00</t>
  </si>
  <si>
    <t>Skriv debatindlæg</t>
  </si>
  <si>
    <t>art_deb5dcfad723</t>
  </si>
  <si>
    <t>2026-05-29T13:44:28.664214+00:00</t>
  </si>
  <si>
    <t>20. maj 2026, 15:02</t>
  </si>
  <si>
    <t>tør: - Åbenhed gælder åbenbart kun en side</t>
  </si>
  <si>
    <t>- Når Morten Kromann og hans støtter ikke vil svare på sober kritik, men i stedet blokerer, tyder det på manglende argumenter, skriver Leif Tullberg.</t>
  </si>
  <si>
    <t>art_bc189fcc537c</t>
  </si>
  <si>
    <t>2026-05-29T13:44:28.803106+00:00</t>
  </si>
  <si>
    <t>20. maj 2026, 12:03</t>
  </si>
  <si>
    <t>Borgmester og regionsrådsmedlem: - SUH i Køge skal komme borgerne til gavn</t>
  </si>
  <si>
    <t>- Når udbygningen er fuldt gennemført, vil langt flere borgere opleve kortere transporttid og bedre sammenhæng i deres behandlingsforløb, skriver Ken Kristensen og Christian Wedell-Neergaard.</t>
  </si>
  <si>
    <t>Ken Kristensen (V)</t>
  </si>
  <si>
    <t>art_a3318f2cb678</t>
  </si>
  <si>
    <t>2026-05-29T13:44:28.944873+00:00</t>
  </si>
  <si>
    <t>12. marts 2026, 11:04</t>
  </si>
  <si>
    <t>Erhvervsøkonom: Har Novos børsnedtur taget toppen af optimismen i Region Sjælland?</t>
  </si>
  <si>
    <t>Morten Laugesen, erhvervsøkonom i AL Sydbank</t>
  </si>
  <si>
    <t>Morten Laugesen</t>
  </si>
  <si>
    <t>art_ec535e9632cc</t>
  </si>
  <si>
    <t>2026-05-29T13:44:29.081179+00:00</t>
  </si>
  <si>
    <t>09. marts 2026, 18:02</t>
  </si>
  <si>
    <t>Folketingskandidat: - Demensindsatsen skal styrkes</t>
  </si>
  <si>
    <t>- Velfærdsteknologi må aldrig blive et spareprojekt forklædt som innovation, skriver Annette Rieva 👇</t>
  </si>
  <si>
    <t>Annette Rieva (V)</t>
  </si>
  <si>
    <t>art_c69321e40fc4</t>
  </si>
  <si>
    <t>politik, velfærd, teknologi_og_ai</t>
  </si>
  <si>
    <t>2026-05-29T13:41:55.550043+00:00</t>
  </si>
  <si>
    <t>Politiken</t>
  </si>
  <si>
    <t>Politiken svigter ved at støtte en ondskabs­fuld, hadefuld og løgnagtig bagvaskelses­kampagne mod mig</t>
  </si>
  <si>
    <t>En dømt bagvasker bør ikke få en platform som Politiken til at fortsætte sine udokumenterede påstande.</t>
  </si>
  <si>
    <t>art_a0f4ff9482dc</t>
  </si>
  <si>
    <t>2026-05-29T13:41:55.682360+00:00</t>
  </si>
  <si>
    <t>Asmaa Abdol-Hamid: Min dom for injurier imod Jotam Confino er udtryk for et alvorligt demokratisk skred</t>
  </si>
  <si>
    <t>Aktivistisk journalistik må tåle hård kritik – ellers bliver ytringsfriheden og retten til at definere virkeligheden forbeholdt dem, der allerede har magten.</t>
  </si>
  <si>
    <t>art_60799f1a333a</t>
  </si>
  <si>
    <t>Frit valg/liberale værdier, Værdikamp, Konflikt/debat, Højrelevant tema, Flere temaer</t>
  </si>
  <si>
    <t>2026-05-29T13:41:55.818898+00:00</t>
  </si>
  <si>
    <t>Næst­formand for Danske Studerendes Fælles­råd: Hvis man for alvor ønsker åndelig oprustning, kunne man jo starte med ikke at behandle universitetet som en pølse­fabrik</t>
  </si>
  <si>
    <t>Når vi reducerer uddannelse til ren cv-jagt og arbejdsmarkedstilpasning, forvandler vi de studerende fra dannede og kritisk tænkende samfundsborgere til passive diplomkunder. Det passer ikke ret godt</t>
  </si>
  <si>
    <t>art_cb348e97a617</t>
  </si>
  <si>
    <t>uddannelse, arbejdsmarked</t>
  </si>
  <si>
    <t>ai_og_arbejdsmarked, fagbevægelse_og_medlemskrise</t>
  </si>
  <si>
    <t>2026-05-29T13:41:55.951887+00:00</t>
  </si>
  <si>
    <t>Ledelsen hos Lex.dk: Derfor er Googles seneste udmelding alarmerende</t>
  </si>
  <si>
    <t>Når Google om lidt laver deres søgemaskine grundlæggende om til at fungere mere, som vi kender ai-chatbots, vil forbindelsen mellem viden og afsender blive alvorligt svækket.</t>
  </si>
  <si>
    <t>art_d71624ba51b4</t>
  </si>
  <si>
    <t>2026-05-29T13:41:56.116671+00:00</t>
  </si>
  <si>
    <t>Politiken mener: Det er på tide, at landbrugs­sektoren bliver behandlet som alle andre erhverv</t>
  </si>
  <si>
    <t>Det er på tide at droppe Fødevareministeriet.</t>
  </si>
  <si>
    <t>art_5bd554c3089b</t>
  </si>
  <si>
    <t>politik, klima_og_miljø, økonomi_og_erhverv, ret_og_retsstat</t>
  </si>
  <si>
    <t>2026-05-29T13:41:56.274770+00:00</t>
  </si>
  <si>
    <t>Lyden af politik irriterer mig</t>
  </si>
  <si>
    <t>Politikernes evige udenomssnak fjerner fokus fra det vigtige.</t>
  </si>
  <si>
    <t>art_9a5cb434fff0</t>
  </si>
  <si>
    <t>2026-05-29T13:41:56.447636+00:00</t>
  </si>
  <si>
    <t>Analyse: Mellem­østens mareridt har indhentet Trump</t>
  </si>
  <si>
    <t>Krigen mod Iran trækker Trump ned i Mellemøstens kviksand. Både Israel og arabiske allierede er usikre på hans kurs. Og udfordringerne i et ’aftale-memorandum’ mellem USA og Iran er endeløse, skriver</t>
  </si>
  <si>
    <t>art_3972753734a6</t>
  </si>
  <si>
    <t>2026-05-29T13:41:56.614332+00:00</t>
  </si>
  <si>
    <t>Dansk­underviser: Sproget er ofte de to-sprogede sosu-elevers mindste udfordring</t>
  </si>
  <si>
    <t>Danmark har brug for tænkende, ansvarlige og omsorgsfulde mennesker, især på sundhedsområdet. Vi har brug for en større grad af inklusion og derfor for nye strategier på arbejdspladserne. Vi skal tale</t>
  </si>
  <si>
    <t>art_12a24fb4c9f1</t>
  </si>
  <si>
    <t>politik, velfærd, uddannelse</t>
  </si>
  <si>
    <t>2026-05-29T13:41:56.733611+00:00</t>
  </si>
  <si>
    <t>Jeg skal nok få børn, men hvad med 25-årige Kasper?</t>
  </si>
  <si>
    <t>Hvis vi for alvor skal gøre noget ved den faldende fødselsrate, skal vi starte et helt andet sted end i fertilitetsklinikken.</t>
  </si>
  <si>
    <t>art_e1280643f370</t>
  </si>
  <si>
    <t>2026-05-29T13:41:56.862509+00:00</t>
  </si>
  <si>
    <t>Skolen skaber ikke inkompetente mennesker, men mennesker, der tror, de er det</t>
  </si>
  <si>
    <t>Børn og unge føler sig i dag presset af forventningerne, og jeg tror, en stor del af presset kommer fra, at man føler sig tvunget ind i at skulle præstere på én bestemt måde.</t>
  </si>
  <si>
    <t>art_6fb1b0d77cea</t>
  </si>
  <si>
    <t>velfærd, uddannelse, kultur_og_medier</t>
  </si>
  <si>
    <t>2026-05-29T13:41:57.057946+00:00</t>
  </si>
  <si>
    <t>Reaktionerne bekræfter, at danske anmeldere er domineret af en dømmesyg og blind venstre­orientering</t>
  </si>
  <si>
    <t>Frederik Lind Køppens digtsamling er nytænkende og foruroligende, men i stedet for at læse åbent, griber anmelderne rutinemæssigt ud efter politisk ladede skældsord.</t>
  </si>
  <si>
    <t>art_992102754900</t>
  </si>
  <si>
    <t>Kendt aktør, Højrelevant tema, Flere temaer, Retsstatspolitik</t>
  </si>
  <si>
    <t>2026-05-29T13:41:57.212510+00:00</t>
  </si>
  <si>
    <t>»Pris, pris og pris«, siger Det Faglige Hus. Det er næsten rørende ærligt</t>
  </si>
  <si>
    <t>Det Faglige Hus er større end 3F. Det er et produkt af en bredere kulturel udvikling, hvor stadig flere tænker som kunder frem for medborgere.</t>
  </si>
  <si>
    <t>art_65df21ac0040</t>
  </si>
  <si>
    <t>2026-05-29T13:41:57.368065+00:00</t>
  </si>
  <si>
    <t>Hvad er det, Søren Gade frygter kommer for en dag?</t>
  </si>
  <si>
    <t>Hvad frygter Søren Gade i Afghanistan-sagen?</t>
  </si>
  <si>
    <t>art_8ddfd39906b5</t>
  </si>
  <si>
    <t>2026-05-29T13:41:57.682989+00:00</t>
  </si>
  <si>
    <t>Jeg er så glad for min cykel. Og den betyder meget mere end to hjul med pedaler på</t>
  </si>
  <si>
    <t>Cyklen er ikke kun en københavnsk vane, men også en historisk motor for bevægelsesfrihed, ligestilling og sikker transport i hårde tider.</t>
  </si>
  <si>
    <t>art_8658c44dd94f</t>
  </si>
  <si>
    <t>steder:København</t>
  </si>
  <si>
    <t>Frit valg/liberale værdier, Højrelevant tema</t>
  </si>
  <si>
    <t>2026-05-29T13:41:57.816581+00:00</t>
  </si>
  <si>
    <t>Gymnasieelev: Forældre har et ansvar for deres børns marmeladehjerner</t>
  </si>
  <si>
    <t>Forældre har et kæmpe ansvar for unge menneskers brug af sociale medier.</t>
  </si>
  <si>
    <t>art_72db3da1b7df</t>
  </si>
  <si>
    <t>velfærd, uddannelse, teknologi_og_ai, kultur_og_medier</t>
  </si>
  <si>
    <t>2026-05-29T13:41:57.980280+00:00</t>
  </si>
  <si>
    <t>Samtykke handler ikke kun om sex, men om helt almindelig god opførsel</t>
  </si>
  <si>
    <t>Vi er alle sammen nødt til at forstå, at samtykke ikke kun handler om noget, man skal have fra hinanden, når man har sex, men helt almindelig god opførsel, når man er sammen med andre. Der er altså et</t>
  </si>
  <si>
    <t>art_45cce3dcf436</t>
  </si>
  <si>
    <t>2026-05-29T13:41:58.097676+00:00</t>
  </si>
  <si>
    <t>Jeg forstår godt, I er trætte. Det er jeg virkelig også</t>
  </si>
  <si>
    <t>Vi skal præstere i skolen. Vælge den rigtige uddannelse. Have styr på vores fremtid. Se godt ud. Være sociale. Finde kærligheden. Samtidig skal vi hele tiden høre, at vi burde slappe lidt mere af.</t>
  </si>
  <si>
    <t>art_357f55bcc780</t>
  </si>
  <si>
    <t>2026-05-29T13:41:58.233157+00:00</t>
  </si>
  <si>
    <t>Det mest danske efterhånden er ikke håndtrykket. Det er småligheden</t>
  </si>
  <si>
    <t>Hvis en kvinde hilser ved at lægge hånden på brystet i stedet for at give hånd, så overlever Danmark nok. Folkestyret bryder ikke sammen.</t>
  </si>
  <si>
    <t>art_0a86b75efd92</t>
  </si>
  <si>
    <t>udlændinge_og_integration, kultur_og_medier</t>
  </si>
  <si>
    <t>Værdikamp, Højrelevant tema, Flere temaer</t>
  </si>
  <si>
    <t>2026-05-29T13:41:58.377234+00:00</t>
  </si>
  <si>
    <t>Cheføkonom: Genåbn Risø som aktiv atomforsøgs­station. Det haster</t>
  </si>
  <si>
    <t>Uanset om Danmark vil stige ’på kernekrafttoget’, er der stærke argumenter for, at Danmark bør genåbne Risø som aktiv atomforsøgsstation. Det skal vi gøre af hensyn til forskningsmiljøerne og industri</t>
  </si>
  <si>
    <t>art_87d2a10c8a0d</t>
  </si>
  <si>
    <t>2026-05-29T13:41:58.708902+00:00</t>
  </si>
  <si>
    <t>»Måske er det ønske­tænkning, men jeg vil ikke blive overrasket, hvis det bryder sammen for Putin«</t>
  </si>
  <si>
    <t>Når man lægger sanktionerne og den voksende utilfredshed sammen med Ukraines droneangreb, bliver det til et meget alvorligt pres på Ruslands leder, skriver Hans Davidsen-Nielsen i denne Signatur.</t>
  </si>
  <si>
    <t>art_d4444a7e892d</t>
  </si>
  <si>
    <t>klima_og_miljø, teknologi_og_ai</t>
  </si>
  <si>
    <t>2026-05-29T13:41:58.818005+00:00</t>
  </si>
  <si>
    <t>Ingen er tjent med, at unge mænd ender med at begå overgreb, fordi de ikke kender eller forstår reglerne</t>
  </si>
  <si>
    <t>Giv unge mere oplysning om samtykkeloven.</t>
  </si>
  <si>
    <t>art_df8110a9c95e</t>
  </si>
  <si>
    <t>håndtryk_ligestilling_og_religion</t>
  </si>
  <si>
    <t>2026-05-29T13:41:58.962913+00:00</t>
  </si>
  <si>
    <t>Socialpædagoger: Skolen burde måske være mere som en børnehave</t>
  </si>
  <si>
    <t>I de fleste daginstitutioner er udgangspunktet stadig, at børn skal forstås, før de kan udvikle sig. At relationer kommer før styring. Den tilgang er værd at huske i skolen også.</t>
  </si>
  <si>
    <t>art_51ac8643c752</t>
  </si>
  <si>
    <t>pædagogfaget_og_rekruttering</t>
  </si>
  <si>
    <t>2026-05-29T13:41:59.088607+00:00</t>
  </si>
  <si>
    <t>Lærer: Jeg har byttet sneakers ud med sko med hæl – ikke af forfængelig­hed, men for effekten</t>
  </si>
  <si>
    <t>Vi er blevet så optagede af ligestilling i klasselokalet, at vi har glemt, at undervisning bygger på en asymmetri.</t>
  </si>
  <si>
    <t>art_e8313617104a</t>
  </si>
  <si>
    <t>2026-05-29T13:41:59.262161+00:00</t>
  </si>
  <si>
    <t>Magt­udredningen 2.0.: Danmark er det eneste land i verden, der har indført det, man kan kalde tvangs­digitalisering</t>
  </si>
  <si>
    <t>Digitalisering er ikke kun en teknisk modernisering af velfærdsstaten. Den er også en omformning af borgerens rettigheder, pligter og muligheder for at deltage i samfundet. Det bør vi have en debat om</t>
  </si>
  <si>
    <t>art_693dd2aa1704</t>
  </si>
  <si>
    <t>Kritik af formynderi, Velfærdsstatens grænser, Borger mod system, Konflikt/debat, Højrelevant tema, Flere temaer</t>
  </si>
  <si>
    <t>2026-05-29T13:41:59.406503+00:00</t>
  </si>
  <si>
    <t>Det begyndte som en effektiv kommunikations­strategi, men LA’s succes har en pris</t>
  </si>
  <si>
    <t>Liberal Alliance tilbød et politisk fix til en generation af dopaminjunkies. Nu må partiet træffe et valg, hvis det vil undgå en ideologisk selvmodsigelse.</t>
  </si>
  <si>
    <t>art_6900a5d6f7f8</t>
  </si>
  <si>
    <t>2026-05-29T13:41:59.539911+00:00</t>
  </si>
  <si>
    <t>Må jeg godt stille op til Folketinget uden at føle mig dansk?</t>
  </si>
  <si>
    <t>Endnu en gang debatterer vi danskhed. Men skal alle føle sig danske? Kan Danmark rumme borgere, der bidrager loyalt til samfundet, uden at opløse deres oprindelige identitet?</t>
  </si>
  <si>
    <t>art_9e273e408b3f</t>
  </si>
  <si>
    <t>Borger mod system, Kendt aktør, Højrelevant tema</t>
  </si>
  <si>
    <t>2026-05-29T13:41:59.707054+00:00</t>
  </si>
  <si>
    <t>Pensioneret lærer: Du ville sikkert selv få et lavt karakter­gennemsnit, hvis du tog 9. klasses afgangs­prøve nu</t>
  </si>
  <si>
    <t>Der er meget debat om dumpeprocenten til folkeskolens afgangsprøven. Men der er brug for mere fokus på prøvernes udformning. De faglige prøver i dansk passer nemlig hverken til elever eller karaktergi</t>
  </si>
  <si>
    <t>art_2fe25b8d935b</t>
  </si>
  <si>
    <t>2026-05-29T13:41:59.802826+00:00</t>
  </si>
  <si>
    <t>Det lyder som en scene i en gangster­film, men det er virkelig­heden for en række elkunder</t>
  </si>
  <si>
    <t>Der må gribes ind over for lidt for kreative elfirmaer.</t>
  </si>
  <si>
    <t>art_ec5d8275d554</t>
  </si>
  <si>
    <t>2026-05-29T13:41:59.925513+00:00</t>
  </si>
  <si>
    <t>Der findes også jura­studerende, der ikke jager prestige og havudsigt</t>
  </si>
  <si>
    <t>Jura er for bred en uddannelse til så snæver en fortælling, som den man har kunnet læse i Politiken. Ikke alle jurastuderende stempler ind i ræset om karakterer og studiejobs.</t>
  </si>
  <si>
    <t>art_5cb63d7d4ccf</t>
  </si>
  <si>
    <t>uddannelse, arbejdsmarked, ret_og_retsstat</t>
  </si>
  <si>
    <t>2026-05-29T13:42:00.092256+00:00</t>
  </si>
  <si>
    <t>Sprogkrav misbruges til politisk eksklusion af flygtninge</t>
  </si>
  <si>
    <t>De krav til danskkundskaber, som stilles for at opnå permanent ophold eller dansk statsborgerskab udelukker reelt flygtninge, der er kommet til Danmark som voksne analfabeter eller med meget lidt skol</t>
  </si>
  <si>
    <t>art_6d7fac0b2ca1</t>
  </si>
  <si>
    <t>udlændinge_og_integration, ret_og_retsstat</t>
  </si>
  <si>
    <t>2026-06-12T16:47:59.993553+00:00</t>
  </si>
  <si>
    <t>art_95dbc4184246</t>
  </si>
  <si>
    <t>kørsel_tidspunkt</t>
  </si>
  <si>
    <t>fundne_artikler</t>
  </si>
  <si>
    <t>nye_artikler</t>
  </si>
  <si>
    <t>dubletter</t>
  </si>
  <si>
    <t>fejl</t>
  </si>
  <si>
    <t>2026-05-23T09:54:55.604078+00:00</t>
  </si>
  <si>
    <t>OK</t>
  </si>
  <si>
    <t>2026-05-23T10:04:33.504652+00:00</t>
  </si>
  <si>
    <t>2026-05-23T10:14:15.194533+00:00</t>
  </si>
  <si>
    <t>2026-05-23T10:18:45.230576+00:00</t>
  </si>
  <si>
    <t>2026-05-23T10:23:30.915692+00:00</t>
  </si>
  <si>
    <t>2026-05-23T10:28:48.303068+00:00</t>
  </si>
  <si>
    <t>2026-05-23T10:32:52.621964+00:00</t>
  </si>
  <si>
    <t>2026-05-23T10:37:54.570167+00:00</t>
  </si>
  <si>
    <t>2026-05-23T10:39:01.409805+00:00</t>
  </si>
  <si>
    <t>2026-05-23T10:43:12.409884+00:00</t>
  </si>
  <si>
    <t>2026-05-23T10:47:26.553082+00:00</t>
  </si>
  <si>
    <t>2026-05-23T10:57:30.742526+00:00</t>
  </si>
  <si>
    <t>2026-05-23T11:01:48.596509+00:00</t>
  </si>
  <si>
    <t>2026-05-23T11:07:25.621822+00:00</t>
  </si>
  <si>
    <t>2026-05-23T11:12:50.815423+00:00</t>
  </si>
  <si>
    <t>2026-05-23T11:18:19.447222+00:00</t>
  </si>
  <si>
    <t>2026-05-23T11:25:00.624517+00:00</t>
  </si>
  <si>
    <t>2026-05-24T05:18:53.755570+00:00</t>
  </si>
  <si>
    <t>2026-05-24T05:26:37.737472+00:00</t>
  </si>
  <si>
    <t>2026-05-24T05:38:01.803658+00:00</t>
  </si>
  <si>
    <t>2026-05-24T05:49:22.919520+00:00</t>
  </si>
  <si>
    <t>2026-05-24T06:17:38.399528+00:00</t>
  </si>
  <si>
    <t>2026-05-24T06:20:30.373302+00:00</t>
  </si>
  <si>
    <t>2026-05-24T06:22:02.945997+00:00</t>
  </si>
  <si>
    <t>2026-05-24T06:30:42.210936+00:00</t>
  </si>
  <si>
    <t>2026-05-24T06:37:02.038987+00:00</t>
  </si>
  <si>
    <t>2026-05-24T06:53:57.780851+00:00</t>
  </si>
  <si>
    <t>2026-05-24T07:05:31.228704+00:00</t>
  </si>
  <si>
    <t>2026-05-24T07:12:46.249362+00:00</t>
  </si>
  <si>
    <t>2026-05-24T07:26:33.113226+00:00</t>
  </si>
  <si>
    <t>2026-05-24T07:58:50.242807+00:00</t>
  </si>
  <si>
    <t>2026-05-24T08:03:43.602739+00:00</t>
  </si>
  <si>
    <t>2026-05-24T08:11:06.318531+00:00</t>
  </si>
  <si>
    <t>2026-05-24T08:26:44.761924+00:00</t>
  </si>
  <si>
    <t>2026-05-24T08:34:38.244538+00:00</t>
  </si>
  <si>
    <t>2026-05-24T08:36:15.848864+00:00</t>
  </si>
  <si>
    <t>2026-05-24T10:12:59.999783+00:00</t>
  </si>
  <si>
    <t>2026-05-24T10:18:57.552197+00:00</t>
  </si>
  <si>
    <t>2026-05-24T10:22:31.127826+00:00</t>
  </si>
  <si>
    <t>2026-05-24T10:25:06.828753+00:00</t>
  </si>
  <si>
    <t>2026-05-24T10:28:21.456665+00:00</t>
  </si>
  <si>
    <t>2026-05-24T10:32:55.081576+00:00</t>
  </si>
  <si>
    <t>2026-05-24T10:57:24.274529+00:00</t>
  </si>
  <si>
    <t>2026-05-24T10:58:39.809787+00:00</t>
  </si>
  <si>
    <t>2026-05-24T11:20:53.843145+00:00</t>
  </si>
  <si>
    <t>2026-05-25T19:51:51.999767+00:00</t>
  </si>
  <si>
    <t>2026-05-25T20:06:20.173522+00:00</t>
  </si>
  <si>
    <t>2026-05-25T20:08:49.245243+00:00</t>
  </si>
  <si>
    <t>2026-05-26T12:24:36.076391+00:00</t>
  </si>
  <si>
    <t>2026-05-26T12:25:56.649547+00:00</t>
  </si>
  <si>
    <t>2026-05-26T13:41:59.786998+00:00</t>
  </si>
  <si>
    <t>2026-05-26T14:55:38.683356+00:00</t>
  </si>
  <si>
    <t>2026-05-26T15:13:45.764147+00:00</t>
  </si>
  <si>
    <t>2026-05-26T15:14:34.461073+00:00</t>
  </si>
  <si>
    <t>2026-05-26T16:21:23.904079+00:00</t>
  </si>
  <si>
    <t>2026-05-27T08:06:05.361959+00:00</t>
  </si>
  <si>
    <t>2026-05-27T08:51:05.787989+00:00</t>
  </si>
  <si>
    <t>2026-05-28T07:10:22.276476+00:00</t>
  </si>
  <si>
    <t>2026-05-28T07:54:02.336942+00:00</t>
  </si>
  <si>
    <t>2026-05-28T08:18:49.071021+00:00</t>
  </si>
  <si>
    <t>2026-05-28T08:44:53.909547+00:00</t>
  </si>
  <si>
    <t>2026-05-28T09:01:44.328011+00:00</t>
  </si>
  <si>
    <t>2026-05-28T09:04:29.099261+00:00</t>
  </si>
  <si>
    <t>2026-05-28T09:19:34.249605+00:00</t>
  </si>
  <si>
    <t>2026-05-29T12:02:15.046792+00:00</t>
  </si>
  <si>
    <t>2026-05-29T12:59:11.352789+00:00</t>
  </si>
  <si>
    <t>2026-05-29T13:44:44.672255+00:00</t>
  </si>
  <si>
    <t>2026-06-10T13:06:06.163287+00:00</t>
  </si>
  <si>
    <t>2026-06-12T16:48:19.555928+00:00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</si>
</sst>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D8F2D8"/>
        <bgColor rgb="FFD8F2D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2" numFmtId="0" xfId="0" applyAlignment="1" applyFont="1">
      <alignment readingOrder="0"/>
    </xf>
    <xf borderId="0" fillId="3" fontId="1" numFmtId="0" xfId="0" applyAlignment="1" applyFill="1" applyFont="1">
      <alignment readingOrder="0"/>
    </xf>
    <xf borderId="0" fillId="3" fontId="3"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5"/>
    <col customWidth="1" min="3" max="5" width="15.13"/>
    <col customWidth="1" min="6" max="6" width="52.63"/>
    <col customWidth="1" min="7" max="7" width="65.13"/>
    <col customWidth="1" min="8" max="9" width="18.88"/>
    <col customWidth="1" min="10" max="12" width="13.88"/>
    <col customWidth="1" min="13" max="13" width="16.38"/>
    <col customWidth="1" min="14" max="14" width="17.0"/>
    <col customWidth="1" min="15" max="15" width="18.88"/>
    <col customWidth="1" min="16" max="16" width="27.63"/>
    <col customWidth="1" min="17" max="17" width="40.13"/>
    <col customWidth="1" min="19" max="19" width="61.63"/>
    <col customWidth="1" min="20" max="20" width="49.0"/>
    <col customWidth="1" min="21" max="21" width="13.88"/>
    <col customWidth="1" min="22" max="22" width="16.38"/>
    <col customWidth="1" min="23" max="23" width="3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row>
    <row r="2">
      <c r="A2" s="2" t="s">
        <v>22</v>
      </c>
      <c r="B2" s="2" t="s">
        <v>23</v>
      </c>
      <c r="C2" s="2" t="s">
        <v>24</v>
      </c>
      <c r="D2" s="2" t="s">
        <v>25</v>
      </c>
      <c r="E2" s="2" t="s">
        <v>26</v>
      </c>
      <c r="F2" s="2" t="s">
        <v>27</v>
      </c>
      <c r="G2" s="2" t="s">
        <v>28</v>
      </c>
      <c r="H2" s="2" t="s">
        <v>29</v>
      </c>
      <c r="I2" s="2" t="s">
        <v>30</v>
      </c>
      <c r="J2" s="3" t="str">
        <f>HYPERLINK("https://www.sn.dk/art6577727/sjaelland/debat-sjaelland/formand-og-administrerende-direktoer-vores-kyster-skal-beskyttes-bedre-mod-oliespild", "Læs artikel")</f>
        <v>Læs artikel</v>
      </c>
      <c r="K2" s="2" t="s">
        <v>31</v>
      </c>
      <c r="L2" s="2" t="s">
        <v>32</v>
      </c>
      <c r="M2" s="2" t="s">
        <v>33</v>
      </c>
      <c r="N2" s="2" t="s">
        <v>34</v>
      </c>
      <c r="O2" s="2" t="s">
        <v>35</v>
      </c>
      <c r="P2" s="2"/>
      <c r="Q2" s="2"/>
      <c r="R2" s="2">
        <v>0.0</v>
      </c>
      <c r="S2" s="2"/>
      <c r="T2" s="2"/>
      <c r="U2" s="2"/>
      <c r="V2" s="2"/>
    </row>
    <row r="3">
      <c r="A3" s="2" t="s">
        <v>36</v>
      </c>
      <c r="B3" s="2" t="s">
        <v>37</v>
      </c>
      <c r="C3" s="2" t="s">
        <v>24</v>
      </c>
      <c r="D3" s="2" t="s">
        <v>25</v>
      </c>
      <c r="E3" s="2" t="s">
        <v>26</v>
      </c>
      <c r="F3" s="2" t="s">
        <v>38</v>
      </c>
      <c r="G3" s="2"/>
      <c r="H3" s="2" t="s">
        <v>39</v>
      </c>
      <c r="I3" s="2" t="s">
        <v>30</v>
      </c>
      <c r="J3" s="3" t="str">
        <f>HYPERLINK("https://www.sn.dk/art6577705/sjaelland/debat-sjaelland/laeser-biogas-er-ikke-groen-omstilling", "Læs artikel")</f>
        <v>Læs artikel</v>
      </c>
      <c r="K3" s="2" t="s">
        <v>31</v>
      </c>
      <c r="L3" s="2" t="s">
        <v>32</v>
      </c>
      <c r="M3" s="2" t="s">
        <v>33</v>
      </c>
      <c r="N3" s="2" t="s">
        <v>40</v>
      </c>
      <c r="O3" s="2" t="s">
        <v>35</v>
      </c>
      <c r="P3" s="2" t="s">
        <v>41</v>
      </c>
      <c r="Q3" s="2"/>
      <c r="R3" s="2">
        <v>12.0</v>
      </c>
      <c r="S3" s="2" t="s">
        <v>42</v>
      </c>
      <c r="T3" s="2"/>
      <c r="U3" s="2"/>
      <c r="V3" s="2"/>
    </row>
    <row r="4">
      <c r="A4" s="2" t="s">
        <v>43</v>
      </c>
      <c r="B4" s="2" t="s">
        <v>44</v>
      </c>
      <c r="C4" s="2" t="s">
        <v>24</v>
      </c>
      <c r="D4" s="2" t="s">
        <v>25</v>
      </c>
      <c r="E4" s="2" t="s">
        <v>26</v>
      </c>
      <c r="F4" s="2" t="s">
        <v>45</v>
      </c>
      <c r="G4" s="2" t="s">
        <v>46</v>
      </c>
      <c r="H4" s="2" t="s">
        <v>47</v>
      </c>
      <c r="I4" s="2" t="s">
        <v>30</v>
      </c>
      <c r="J4" s="3" t="str">
        <f>HYPERLINK("https://www.sn.dk/art6565770/sjaelland/debat-sjaelland/biolog-og-professor-sammenhaengende-natur-kan-forbedre-arresoe-og-biodiversiteten", "Læs artikel")</f>
        <v>Læs artikel</v>
      </c>
      <c r="K4" s="2" t="s">
        <v>31</v>
      </c>
      <c r="L4" s="2" t="s">
        <v>32</v>
      </c>
      <c r="M4" s="2" t="s">
        <v>33</v>
      </c>
      <c r="N4" s="2" t="s">
        <v>48</v>
      </c>
      <c r="O4" s="2" t="s">
        <v>35</v>
      </c>
      <c r="P4" s="2" t="s">
        <v>41</v>
      </c>
      <c r="Q4" s="2"/>
      <c r="R4" s="2">
        <v>12.0</v>
      </c>
      <c r="S4" s="2" t="s">
        <v>42</v>
      </c>
      <c r="T4" s="2"/>
      <c r="U4" s="2"/>
      <c r="V4" s="2"/>
    </row>
    <row r="5">
      <c r="A5" s="2" t="s">
        <v>49</v>
      </c>
      <c r="B5" s="2" t="s">
        <v>50</v>
      </c>
      <c r="C5" s="2" t="s">
        <v>24</v>
      </c>
      <c r="D5" s="2" t="s">
        <v>25</v>
      </c>
      <c r="E5" s="2" t="s">
        <v>26</v>
      </c>
      <c r="F5" s="2" t="s">
        <v>51</v>
      </c>
      <c r="G5" s="2" t="s">
        <v>52</v>
      </c>
      <c r="H5" s="2" t="s">
        <v>53</v>
      </c>
      <c r="I5" s="2" t="s">
        <v>30</v>
      </c>
      <c r="J5" s="3" t="str">
        <f>HYPERLINK("https://www.sn.dk/art6576923/sjaelland/debat-sjaelland/folkeskoleelev-eu-skal-tage-ansvar-for-europas-sikkerhed", "Læs artikel")</f>
        <v>Læs artikel</v>
      </c>
      <c r="K5" s="2" t="s">
        <v>31</v>
      </c>
      <c r="L5" s="2" t="s">
        <v>32</v>
      </c>
      <c r="M5" s="2" t="s">
        <v>33</v>
      </c>
      <c r="N5" s="2" t="s">
        <v>54</v>
      </c>
      <c r="O5" s="2" t="s">
        <v>35</v>
      </c>
      <c r="P5" s="2" t="s">
        <v>55</v>
      </c>
      <c r="Q5" s="2" t="s">
        <v>56</v>
      </c>
      <c r="R5" s="2">
        <v>52.0</v>
      </c>
      <c r="S5" s="2" t="s">
        <v>57</v>
      </c>
      <c r="T5" s="2" t="s">
        <v>58</v>
      </c>
      <c r="U5" s="2"/>
      <c r="V5" s="2"/>
    </row>
    <row r="6">
      <c r="A6" s="2" t="s">
        <v>59</v>
      </c>
      <c r="B6" s="2" t="s">
        <v>60</v>
      </c>
      <c r="C6" s="2" t="s">
        <v>24</v>
      </c>
      <c r="D6" s="2" t="s">
        <v>25</v>
      </c>
      <c r="E6" s="2" t="s">
        <v>26</v>
      </c>
      <c r="F6" s="2" t="s">
        <v>61</v>
      </c>
      <c r="G6" s="2" t="s">
        <v>62</v>
      </c>
      <c r="H6" s="2" t="s">
        <v>63</v>
      </c>
      <c r="I6" s="2" t="s">
        <v>30</v>
      </c>
      <c r="J6" s="3" t="str">
        <f>HYPERLINK("https://www.sn.dk/art6577686/sjaelland/debat-sjaelland/erhvervsordfoerer-lad-os-hylde-danmarks-ivaerksaettere-der-skaber-vaekst", "Læs artikel")</f>
        <v>Læs artikel</v>
      </c>
      <c r="K6" s="2" t="s">
        <v>31</v>
      </c>
      <c r="L6" s="2" t="s">
        <v>32</v>
      </c>
      <c r="M6" s="2" t="s">
        <v>33</v>
      </c>
      <c r="N6" s="2" t="s">
        <v>64</v>
      </c>
      <c r="O6" s="2" t="s">
        <v>35</v>
      </c>
      <c r="P6" s="2" t="s">
        <v>65</v>
      </c>
      <c r="Q6" s="2" t="s">
        <v>66</v>
      </c>
      <c r="R6" s="2">
        <v>62.0</v>
      </c>
      <c r="S6" s="2" t="s">
        <v>57</v>
      </c>
      <c r="T6" s="2"/>
      <c r="U6" s="2"/>
      <c r="V6" s="2"/>
    </row>
    <row r="7">
      <c r="A7" s="2" t="s">
        <v>67</v>
      </c>
      <c r="B7" s="2" t="s">
        <v>68</v>
      </c>
      <c r="C7" s="2" t="s">
        <v>24</v>
      </c>
      <c r="D7" s="2" t="s">
        <v>25</v>
      </c>
      <c r="E7" s="2" t="s">
        <v>26</v>
      </c>
      <c r="F7" s="2" t="s">
        <v>69</v>
      </c>
      <c r="G7" s="2" t="s">
        <v>70</v>
      </c>
      <c r="H7" s="2" t="s">
        <v>71</v>
      </c>
      <c r="I7" s="2" t="s">
        <v>30</v>
      </c>
      <c r="J7" s="3" t="str">
        <f>HYPERLINK("https://www.sn.dk/art6577280/sjaelland/debat-sjaelland/sjaelland-og-oeerne-kan-blive-danmarks-staerkeste-foedevareregion", "Læs artikel")</f>
        <v>Læs artikel</v>
      </c>
      <c r="K7" s="2" t="s">
        <v>31</v>
      </c>
      <c r="L7" s="2" t="s">
        <v>32</v>
      </c>
      <c r="M7" s="2" t="s">
        <v>33</v>
      </c>
      <c r="N7" s="2" t="s">
        <v>72</v>
      </c>
      <c r="O7" s="2" t="s">
        <v>35</v>
      </c>
      <c r="P7" s="2" t="s">
        <v>73</v>
      </c>
      <c r="Q7" s="2"/>
      <c r="R7" s="2">
        <v>10.0</v>
      </c>
      <c r="S7" s="2" t="s">
        <v>74</v>
      </c>
      <c r="T7" s="2"/>
      <c r="U7" s="2"/>
      <c r="V7" s="2"/>
    </row>
    <row r="8">
      <c r="A8" s="2" t="s">
        <v>75</v>
      </c>
      <c r="B8" s="2" t="s">
        <v>76</v>
      </c>
      <c r="C8" s="2" t="s">
        <v>24</v>
      </c>
      <c r="D8" s="2" t="s">
        <v>25</v>
      </c>
      <c r="E8" s="2" t="s">
        <v>26</v>
      </c>
      <c r="F8" s="2" t="s">
        <v>77</v>
      </c>
      <c r="G8" s="2" t="s">
        <v>78</v>
      </c>
      <c r="H8" s="2" t="s">
        <v>79</v>
      </c>
      <c r="I8" s="2" t="s">
        <v>30</v>
      </c>
      <c r="J8" s="3" t="str">
        <f>HYPERLINK("https://www.sn.dk/art6575378/sjaelland/debat-sjaelland/laeser-vi-i-norden-lever-blandt-verdens-rigeste-samfund-det-glemmer-vi", "Læs artikel")</f>
        <v>Læs artikel</v>
      </c>
      <c r="K8" s="2" t="s">
        <v>31</v>
      </c>
      <c r="L8" s="2" t="s">
        <v>32</v>
      </c>
      <c r="M8" s="2" t="s">
        <v>33</v>
      </c>
      <c r="N8" s="2" t="s">
        <v>80</v>
      </c>
      <c r="O8" s="2" t="s">
        <v>35</v>
      </c>
      <c r="P8" s="2"/>
      <c r="Q8" s="2"/>
      <c r="R8" s="2">
        <v>0.0</v>
      </c>
      <c r="S8" s="2"/>
      <c r="T8" s="2"/>
      <c r="U8" s="2"/>
      <c r="V8" s="2"/>
    </row>
    <row r="9">
      <c r="A9" s="2" t="s">
        <v>81</v>
      </c>
      <c r="B9" s="2" t="s">
        <v>82</v>
      </c>
      <c r="C9" s="2" t="s">
        <v>24</v>
      </c>
      <c r="D9" s="2" t="s">
        <v>25</v>
      </c>
      <c r="E9" s="2" t="s">
        <v>26</v>
      </c>
      <c r="F9" s="2" t="s">
        <v>83</v>
      </c>
      <c r="G9" s="2" t="s">
        <v>84</v>
      </c>
      <c r="H9" s="2" t="s">
        <v>85</v>
      </c>
      <c r="I9" s="2" t="s">
        <v>30</v>
      </c>
      <c r="J9" s="3" t="str">
        <f>HYPERLINK("https://www.sn.dk/art6575373/sjaelland/debat-sjaelland/laeser-reagerer-paa-leder-landbruget-har-ikke-begaaet-noget-kriminelt", "Læs artikel")</f>
        <v>Læs artikel</v>
      </c>
      <c r="K9" s="2" t="s">
        <v>31</v>
      </c>
      <c r="L9" s="2" t="s">
        <v>32</v>
      </c>
      <c r="M9" s="2" t="s">
        <v>33</v>
      </c>
      <c r="N9" s="2" t="s">
        <v>86</v>
      </c>
      <c r="O9" s="2" t="s">
        <v>35</v>
      </c>
      <c r="P9" s="2" t="s">
        <v>87</v>
      </c>
      <c r="Q9" s="2"/>
      <c r="R9" s="2">
        <v>32.0</v>
      </c>
      <c r="S9" s="2" t="s">
        <v>88</v>
      </c>
      <c r="T9" s="2" t="s">
        <v>89</v>
      </c>
      <c r="U9" s="2"/>
      <c r="V9" s="2"/>
    </row>
    <row r="10">
      <c r="A10" s="2" t="s">
        <v>90</v>
      </c>
      <c r="B10" s="2" t="s">
        <v>91</v>
      </c>
      <c r="C10" s="2" t="s">
        <v>24</v>
      </c>
      <c r="D10" s="2" t="s">
        <v>25</v>
      </c>
      <c r="E10" s="2" t="s">
        <v>26</v>
      </c>
      <c r="F10" s="2" t="s">
        <v>92</v>
      </c>
      <c r="G10" s="2" t="s">
        <v>93</v>
      </c>
      <c r="H10" s="2" t="s">
        <v>94</v>
      </c>
      <c r="I10" s="2" t="s">
        <v>30</v>
      </c>
      <c r="J10" s="3" t="str">
        <f>HYPERLINK("https://www.sn.dk/art6575365/sjaelland/debat-sjaelland/branchedirektoer-det-er-ikke-kun-et-problem-for-branchen-men-et-samfundsproblem", "Læs artikel")</f>
        <v>Læs artikel</v>
      </c>
      <c r="K10" s="2" t="s">
        <v>31</v>
      </c>
      <c r="L10" s="2" t="s">
        <v>32</v>
      </c>
      <c r="M10" s="2" t="s">
        <v>33</v>
      </c>
      <c r="N10" s="2" t="s">
        <v>95</v>
      </c>
      <c r="O10" s="2" t="s">
        <v>35</v>
      </c>
      <c r="P10" s="2" t="s">
        <v>96</v>
      </c>
      <c r="Q10" s="2"/>
      <c r="R10" s="2">
        <v>20.0</v>
      </c>
      <c r="S10" s="2" t="s">
        <v>97</v>
      </c>
      <c r="T10" s="2"/>
      <c r="U10" s="2"/>
      <c r="V10" s="2"/>
    </row>
    <row r="11">
      <c r="A11" s="2" t="s">
        <v>98</v>
      </c>
      <c r="B11" s="2" t="s">
        <v>99</v>
      </c>
      <c r="C11" s="2" t="s">
        <v>24</v>
      </c>
      <c r="D11" s="2" t="s">
        <v>25</v>
      </c>
      <c r="E11" s="2" t="s">
        <v>26</v>
      </c>
      <c r="F11" s="2" t="s">
        <v>100</v>
      </c>
      <c r="G11" s="2" t="s">
        <v>101</v>
      </c>
      <c r="H11" s="2" t="s">
        <v>102</v>
      </c>
      <c r="I11" s="2" t="s">
        <v>30</v>
      </c>
      <c r="J11" s="3" t="str">
        <f>HYPERLINK("https://www.sn.dk/art6572308/sjaelland/debat-sjaelland/debattoer-fortrolighed-er-ikke-kujoneri", "Læs artikel")</f>
        <v>Læs artikel</v>
      </c>
      <c r="K11" s="2" t="s">
        <v>31</v>
      </c>
      <c r="L11" s="2" t="s">
        <v>32</v>
      </c>
      <c r="M11" s="2" t="s">
        <v>33</v>
      </c>
      <c r="N11" s="2" t="s">
        <v>103</v>
      </c>
      <c r="O11" s="2" t="s">
        <v>35</v>
      </c>
      <c r="P11" s="2" t="s">
        <v>104</v>
      </c>
      <c r="Q11" s="2"/>
      <c r="R11" s="2">
        <v>54.0</v>
      </c>
      <c r="S11" s="2" t="s">
        <v>105</v>
      </c>
      <c r="T11" s="2"/>
      <c r="U11" s="2"/>
      <c r="V11" s="2"/>
    </row>
    <row r="12">
      <c r="A12" s="2" t="s">
        <v>106</v>
      </c>
      <c r="B12" s="2" t="s">
        <v>107</v>
      </c>
      <c r="C12" s="2" t="s">
        <v>24</v>
      </c>
      <c r="D12" s="2" t="s">
        <v>25</v>
      </c>
      <c r="E12" s="2" t="s">
        <v>26</v>
      </c>
      <c r="F12" s="2" t="s">
        <v>108</v>
      </c>
      <c r="G12" s="2" t="s">
        <v>109</v>
      </c>
      <c r="H12" s="2" t="s">
        <v>110</v>
      </c>
      <c r="I12" s="2" t="s">
        <v>30</v>
      </c>
      <c r="J12" s="3" t="str">
        <f>HYPERLINK("https://www.sn.dk/art6572251/sjaelland/debat-sjaelland/bestyrelsesmedlemmer-reagerer-paa-leder-biogas-er-ikke-en-undskyldning-det-er-en-noedvendighed", "Læs artikel")</f>
        <v>Læs artikel</v>
      </c>
      <c r="K12" s="2" t="s">
        <v>31</v>
      </c>
      <c r="L12" s="2" t="s">
        <v>32</v>
      </c>
      <c r="M12" s="2" t="s">
        <v>33</v>
      </c>
      <c r="N12" s="2" t="s">
        <v>111</v>
      </c>
      <c r="O12" s="2" t="s">
        <v>35</v>
      </c>
      <c r="P12" s="2"/>
      <c r="Q12" s="2"/>
      <c r="R12" s="2">
        <v>18.0</v>
      </c>
      <c r="S12" s="2" t="s">
        <v>112</v>
      </c>
      <c r="T12" s="2"/>
      <c r="U12" s="2"/>
      <c r="V12" s="2"/>
    </row>
    <row r="13">
      <c r="A13" s="2" t="s">
        <v>113</v>
      </c>
      <c r="B13" s="2" t="s">
        <v>114</v>
      </c>
      <c r="C13" s="2" t="s">
        <v>24</v>
      </c>
      <c r="D13" s="2" t="s">
        <v>25</v>
      </c>
      <c r="E13" s="2" t="s">
        <v>26</v>
      </c>
      <c r="F13" s="2" t="s">
        <v>115</v>
      </c>
      <c r="G13" s="2" t="s">
        <v>116</v>
      </c>
      <c r="H13" s="2" t="s">
        <v>63</v>
      </c>
      <c r="I13" s="2" t="s">
        <v>30</v>
      </c>
      <c r="J13" s="3" t="str">
        <f>HYPERLINK("https://www.sn.dk/art6572292/sjaelland/debat-sjaelland/regionsraadsmedlem-en-sundhedsreform-maa-ikke-skabe-ny-ulighed", "Læs artikel")</f>
        <v>Læs artikel</v>
      </c>
      <c r="K13" s="2" t="s">
        <v>31</v>
      </c>
      <c r="L13" s="2" t="s">
        <v>32</v>
      </c>
      <c r="M13" s="2" t="s">
        <v>33</v>
      </c>
      <c r="N13" s="2" t="s">
        <v>117</v>
      </c>
      <c r="O13" s="2" t="s">
        <v>35</v>
      </c>
      <c r="P13" s="2" t="s">
        <v>118</v>
      </c>
      <c r="Q13" s="2"/>
      <c r="R13" s="2">
        <v>22.0</v>
      </c>
      <c r="S13" s="2" t="s">
        <v>119</v>
      </c>
      <c r="T13" s="2"/>
      <c r="U13" s="2"/>
      <c r="V13" s="2"/>
    </row>
    <row r="14">
      <c r="A14" s="4" t="s">
        <v>120</v>
      </c>
      <c r="B14" s="4" t="s">
        <v>121</v>
      </c>
      <c r="C14" s="4" t="s">
        <v>122</v>
      </c>
      <c r="D14" s="4" t="s">
        <v>123</v>
      </c>
      <c r="E14" s="4"/>
      <c r="F14" s="4" t="s">
        <v>124</v>
      </c>
      <c r="G14" s="4"/>
      <c r="H14" s="4"/>
      <c r="I14" s="4" t="s">
        <v>125</v>
      </c>
      <c r="J14" s="5" t="str">
        <f>HYPERLINK("https://www.altinget.dk/artikel/pia-olsen-dyhr-har-ikke-bare-udvist-daarlig-doemmekraft-hun-har-handlet-kynisk", "Læs artikel")</f>
        <v>Læs artikel</v>
      </c>
      <c r="K14" s="4" t="s">
        <v>31</v>
      </c>
      <c r="L14" s="4" t="s">
        <v>32</v>
      </c>
      <c r="M14" s="4" t="s">
        <v>126</v>
      </c>
      <c r="N14" s="4" t="s">
        <v>127</v>
      </c>
      <c r="O14" s="4" t="s">
        <v>128</v>
      </c>
      <c r="P14" s="4"/>
      <c r="Q14" s="4"/>
      <c r="R14" s="4">
        <v>0.0</v>
      </c>
      <c r="S14" s="4"/>
      <c r="T14" s="4"/>
      <c r="U14" s="4"/>
      <c r="V14" s="4"/>
    </row>
    <row r="15">
      <c r="A15" s="4" t="s">
        <v>129</v>
      </c>
      <c r="B15" s="4" t="s">
        <v>130</v>
      </c>
      <c r="C15" s="4" t="s">
        <v>122</v>
      </c>
      <c r="D15" s="4" t="s">
        <v>123</v>
      </c>
      <c r="E15" s="4"/>
      <c r="F15" s="4" t="s">
        <v>131</v>
      </c>
      <c r="G15" s="4"/>
      <c r="H15" s="4"/>
      <c r="I15" s="4" t="s">
        <v>125</v>
      </c>
      <c r="J15" s="5" t="str">
        <f>HYPERLINK("https://www.altinget.dk/artikel/forfatter-regeringsgrundlaget-favner-slet-ikke-saa-bredt-det-emmer-i-stedet-af-spelt-og-kaffe-paa-havre", "Læs artikel")</f>
        <v>Læs artikel</v>
      </c>
      <c r="K15" s="4" t="s">
        <v>31</v>
      </c>
      <c r="L15" s="4" t="s">
        <v>32</v>
      </c>
      <c r="M15" s="4" t="s">
        <v>126</v>
      </c>
      <c r="N15" s="4" t="s">
        <v>132</v>
      </c>
      <c r="O15" s="4" t="s">
        <v>128</v>
      </c>
      <c r="P15" s="4" t="s">
        <v>133</v>
      </c>
      <c r="Q15" s="4"/>
      <c r="R15" s="4">
        <v>10.0</v>
      </c>
      <c r="S15" s="4" t="s">
        <v>134</v>
      </c>
      <c r="T15" s="4"/>
      <c r="U15" s="4"/>
      <c r="V15" s="4"/>
    </row>
    <row r="16">
      <c r="A16" s="4" t="s">
        <v>135</v>
      </c>
      <c r="B16" s="4" t="s">
        <v>130</v>
      </c>
      <c r="C16" s="4" t="s">
        <v>122</v>
      </c>
      <c r="D16" s="4" t="s">
        <v>123</v>
      </c>
      <c r="E16" s="4"/>
      <c r="F16" s="4" t="s">
        <v>136</v>
      </c>
      <c r="G16" s="4"/>
      <c r="H16" s="4"/>
      <c r="I16" s="4" t="s">
        <v>125</v>
      </c>
      <c r="J16" s="5" t="str">
        <f>HYPERLINK("https://www.altinget.dk/artikel/kaere-samira-nawa-stop-det-oliefelt-der-beriger-brexit-milliardaer-og-udleder-mere-co2-end-hele-danmark", "Læs artikel")</f>
        <v>Læs artikel</v>
      </c>
      <c r="K16" s="4" t="s">
        <v>31</v>
      </c>
      <c r="L16" s="4" t="s">
        <v>32</v>
      </c>
      <c r="M16" s="4" t="s">
        <v>126</v>
      </c>
      <c r="N16" s="4" t="s">
        <v>137</v>
      </c>
      <c r="O16" s="4" t="s">
        <v>128</v>
      </c>
      <c r="P16" s="4" t="s">
        <v>138</v>
      </c>
      <c r="Q16" s="4"/>
      <c r="R16" s="4">
        <v>20.0</v>
      </c>
      <c r="S16" s="4" t="s">
        <v>97</v>
      </c>
      <c r="T16" s="4"/>
      <c r="U16" s="4"/>
      <c r="V16" s="4"/>
    </row>
    <row r="17">
      <c r="A17" s="4" t="s">
        <v>139</v>
      </c>
      <c r="B17" s="4" t="s">
        <v>140</v>
      </c>
      <c r="C17" s="4" t="s">
        <v>122</v>
      </c>
      <c r="D17" s="4" t="s">
        <v>123</v>
      </c>
      <c r="E17" s="4"/>
      <c r="F17" s="4" t="s">
        <v>141</v>
      </c>
      <c r="G17" s="4"/>
      <c r="H17" s="4"/>
      <c r="I17" s="4" t="s">
        <v>30</v>
      </c>
      <c r="J17" s="5" t="str">
        <f>HYPERLINK("https://www.altinget.dk/artikel/naar-altinget-afviser-ai-debatindlaeg-siger-de-nej-til-et-utal-af-stemmer-der-burde-faa-plads-i-spalterne", "Læs artikel")</f>
        <v>Læs artikel</v>
      </c>
      <c r="K17" s="4" t="s">
        <v>31</v>
      </c>
      <c r="L17" s="4" t="s">
        <v>32</v>
      </c>
      <c r="M17" s="4" t="s">
        <v>126</v>
      </c>
      <c r="N17" s="4" t="s">
        <v>142</v>
      </c>
      <c r="O17" s="4" t="s">
        <v>35</v>
      </c>
      <c r="P17" s="4" t="s">
        <v>143</v>
      </c>
      <c r="Q17" s="4" t="s">
        <v>144</v>
      </c>
      <c r="R17" s="4">
        <v>8.0</v>
      </c>
      <c r="S17" s="4" t="s">
        <v>145</v>
      </c>
      <c r="T17" s="4"/>
      <c r="U17" s="4"/>
      <c r="V17" s="4"/>
    </row>
    <row r="18">
      <c r="A18" s="4" t="s">
        <v>146</v>
      </c>
      <c r="B18" s="4" t="s">
        <v>147</v>
      </c>
      <c r="C18" s="4" t="s">
        <v>122</v>
      </c>
      <c r="D18" s="4" t="s">
        <v>123</v>
      </c>
      <c r="E18" s="4"/>
      <c r="F18" s="4" t="s">
        <v>148</v>
      </c>
      <c r="G18" s="4"/>
      <c r="H18" s="4"/>
      <c r="I18" s="4" t="s">
        <v>125</v>
      </c>
      <c r="J18" s="5" t="str">
        <f>HYPERLINK("https://www.altinget.dk/artikel/martin-geertsen-her-er-fem-overordnede-linjer-i-den-nye-regerings-sundhedspolitik", "Læs artikel")</f>
        <v>Læs artikel</v>
      </c>
      <c r="K18" s="4" t="s">
        <v>31</v>
      </c>
      <c r="L18" s="4" t="s">
        <v>32</v>
      </c>
      <c r="M18" s="4" t="s">
        <v>126</v>
      </c>
      <c r="N18" s="4" t="s">
        <v>149</v>
      </c>
      <c r="O18" s="4" t="s">
        <v>128</v>
      </c>
      <c r="P18" s="4" t="s">
        <v>150</v>
      </c>
      <c r="Q18" s="4"/>
      <c r="R18" s="4">
        <v>47.0</v>
      </c>
      <c r="S18" s="4" t="s">
        <v>151</v>
      </c>
      <c r="T18" s="4"/>
      <c r="U18" s="4"/>
      <c r="V18" s="4"/>
    </row>
    <row r="19">
      <c r="A19" s="4" t="s">
        <v>152</v>
      </c>
      <c r="B19" s="4" t="s">
        <v>147</v>
      </c>
      <c r="C19" s="4" t="s">
        <v>122</v>
      </c>
      <c r="D19" s="4" t="s">
        <v>123</v>
      </c>
      <c r="E19" s="4"/>
      <c r="F19" s="4" t="s">
        <v>153</v>
      </c>
      <c r="G19" s="4"/>
      <c r="H19" s="4"/>
      <c r="I19" s="4" t="s">
        <v>125</v>
      </c>
      <c r="J19" s="5" t="str">
        <f>HYPERLINK("https://www.altinget.dk/artikel/erhvervsministerens-tidligere-taleskriver-her-er-hvad-der-sker-bag-kulisserne-naar-et-ministerie-skifter-haender", "Læs artikel")</f>
        <v>Læs artikel</v>
      </c>
      <c r="K19" s="4" t="s">
        <v>31</v>
      </c>
      <c r="L19" s="4" t="s">
        <v>32</v>
      </c>
      <c r="M19" s="4" t="s">
        <v>126</v>
      </c>
      <c r="N19" s="4" t="s">
        <v>154</v>
      </c>
      <c r="O19" s="4" t="s">
        <v>128</v>
      </c>
      <c r="P19" s="4" t="s">
        <v>133</v>
      </c>
      <c r="Q19" s="4"/>
      <c r="R19" s="4">
        <v>10.0</v>
      </c>
      <c r="S19" s="4" t="s">
        <v>134</v>
      </c>
      <c r="T19" s="4"/>
      <c r="U19" s="4"/>
      <c r="V19" s="4"/>
    </row>
    <row r="20">
      <c r="A20" s="2" t="s">
        <v>155</v>
      </c>
      <c r="B20" s="2" t="s">
        <v>156</v>
      </c>
      <c r="C20" s="2" t="s">
        <v>122</v>
      </c>
      <c r="D20" s="2" t="s">
        <v>123</v>
      </c>
      <c r="E20" s="2"/>
      <c r="F20" s="2" t="s">
        <v>157</v>
      </c>
      <c r="G20" s="2"/>
      <c r="H20" s="2"/>
      <c r="I20" s="2" t="s">
        <v>30</v>
      </c>
      <c r="J20" s="3" t="str">
        <f>HYPERLINK("https://www.altinget.dk/artikel/danske-kunstnere-dansk-folkeparti-vil-goere-kunststoette-til-et-spoergsmaal-om-politisk-smag", "Læs artikel")</f>
        <v>Læs artikel</v>
      </c>
      <c r="K20" s="2" t="s">
        <v>31</v>
      </c>
      <c r="L20" s="2" t="s">
        <v>32</v>
      </c>
      <c r="M20" s="2" t="s">
        <v>33</v>
      </c>
      <c r="N20" s="2" t="s">
        <v>158</v>
      </c>
      <c r="O20" s="2" t="s">
        <v>35</v>
      </c>
      <c r="P20" s="2" t="s">
        <v>104</v>
      </c>
      <c r="Q20" s="2" t="s">
        <v>159</v>
      </c>
      <c r="R20" s="2">
        <v>42.0</v>
      </c>
      <c r="S20" s="2" t="s">
        <v>151</v>
      </c>
      <c r="T20" s="2"/>
      <c r="U20" s="2"/>
      <c r="V20" s="2"/>
    </row>
    <row r="21">
      <c r="A21" s="2" t="s">
        <v>160</v>
      </c>
      <c r="B21" s="2" t="s">
        <v>161</v>
      </c>
      <c r="C21" s="2" t="s">
        <v>122</v>
      </c>
      <c r="D21" s="2" t="s">
        <v>123</v>
      </c>
      <c r="E21" s="2"/>
      <c r="F21" s="2" t="s">
        <v>162</v>
      </c>
      <c r="G21" s="2"/>
      <c r="H21" s="2"/>
      <c r="I21" s="2" t="s">
        <v>163</v>
      </c>
      <c r="J21" s="3" t="str">
        <f>HYPERLINK("https://www.altinget.dk/artikel/some-ekspert-her-er-de-stoerste-og-dygtigste-fagbosser-paa-de-sociale-medier", "Læs artikel")</f>
        <v>Læs artikel</v>
      </c>
      <c r="K21" s="2" t="s">
        <v>31</v>
      </c>
      <c r="L21" s="2" t="s">
        <v>32</v>
      </c>
      <c r="M21" s="2" t="s">
        <v>33</v>
      </c>
      <c r="N21" s="2" t="s">
        <v>164</v>
      </c>
      <c r="O21" s="2" t="s">
        <v>165</v>
      </c>
      <c r="P21" s="2" t="s">
        <v>166</v>
      </c>
      <c r="Q21" s="2" t="s">
        <v>167</v>
      </c>
      <c r="R21" s="2">
        <v>20.0</v>
      </c>
      <c r="S21" s="2" t="s">
        <v>97</v>
      </c>
      <c r="T21" s="2" t="s">
        <v>58</v>
      </c>
      <c r="U21" s="2"/>
      <c r="V21" s="2"/>
    </row>
    <row r="22">
      <c r="A22" s="2" t="s">
        <v>168</v>
      </c>
      <c r="B22" s="2" t="s">
        <v>161</v>
      </c>
      <c r="C22" s="2" t="s">
        <v>122</v>
      </c>
      <c r="D22" s="2" t="s">
        <v>123</v>
      </c>
      <c r="E22" s="2"/>
      <c r="F22" s="2" t="s">
        <v>169</v>
      </c>
      <c r="G22" s="2"/>
      <c r="H22" s="2"/>
      <c r="I22" s="2" t="s">
        <v>30</v>
      </c>
      <c r="J22" s="3" t="str">
        <f>HYPERLINK("https://www.altinget.dk/artikel/brinkmann-tager-fejl-boerns-koncentration-er-blevet-daarligere", "Læs artikel")</f>
        <v>Læs artikel</v>
      </c>
      <c r="K22" s="2" t="s">
        <v>31</v>
      </c>
      <c r="L22" s="2" t="s">
        <v>32</v>
      </c>
      <c r="M22" s="2" t="s">
        <v>33</v>
      </c>
      <c r="N22" s="2" t="s">
        <v>170</v>
      </c>
      <c r="O22" s="2" t="s">
        <v>35</v>
      </c>
      <c r="P22" s="2" t="s">
        <v>166</v>
      </c>
      <c r="Q22" s="2" t="s">
        <v>171</v>
      </c>
      <c r="R22" s="2">
        <v>20.0</v>
      </c>
      <c r="S22" s="2" t="s">
        <v>97</v>
      </c>
      <c r="T22" s="2" t="s">
        <v>172</v>
      </c>
      <c r="U22" s="2"/>
      <c r="V22" s="2"/>
    </row>
    <row r="23">
      <c r="A23" s="2" t="s">
        <v>173</v>
      </c>
      <c r="B23" s="2" t="s">
        <v>161</v>
      </c>
      <c r="C23" s="2" t="s">
        <v>122</v>
      </c>
      <c r="D23" s="2" t="s">
        <v>123</v>
      </c>
      <c r="E23" s="2"/>
      <c r="F23" s="2" t="s">
        <v>174</v>
      </c>
      <c r="G23" s="2"/>
      <c r="H23" s="2"/>
      <c r="I23" s="2" t="s">
        <v>30</v>
      </c>
      <c r="J23" s="3" t="str">
        <f>HYPERLINK("https://www.altinget.dk/artikel/raadgiver-folkemoedet-kan-blive-den-nye-regerings-afterparty", "Læs artikel")</f>
        <v>Læs artikel</v>
      </c>
      <c r="K23" s="2" t="s">
        <v>31</v>
      </c>
      <c r="L23" s="2" t="s">
        <v>32</v>
      </c>
      <c r="M23" s="2" t="s">
        <v>33</v>
      </c>
      <c r="N23" s="2" t="s">
        <v>175</v>
      </c>
      <c r="O23" s="2" t="s">
        <v>35</v>
      </c>
      <c r="P23" s="2" t="s">
        <v>133</v>
      </c>
      <c r="Q23" s="2"/>
      <c r="R23" s="2">
        <v>10.0</v>
      </c>
      <c r="S23" s="2" t="s">
        <v>134</v>
      </c>
      <c r="T23" s="2"/>
      <c r="U23" s="2"/>
      <c r="V23" s="2"/>
    </row>
    <row r="24">
      <c r="A24" s="2" t="s">
        <v>176</v>
      </c>
      <c r="B24" s="2" t="s">
        <v>161</v>
      </c>
      <c r="C24" s="2" t="s">
        <v>122</v>
      </c>
      <c r="D24" s="2" t="s">
        <v>123</v>
      </c>
      <c r="E24" s="2"/>
      <c r="F24" s="2" t="s">
        <v>177</v>
      </c>
      <c r="G24" s="2"/>
      <c r="H24" s="2"/>
      <c r="I24" s="2" t="s">
        <v>125</v>
      </c>
      <c r="J24" s="3" t="str">
        <f>HYPERLINK("https://www.altinget.dk/artikel/er-regeringens-trepart-for-foreningslivet-et-loefte-eller-en-faelde-jeg-frygter-det-sidste", "Læs artikel")</f>
        <v>Læs artikel</v>
      </c>
      <c r="K24" s="2" t="s">
        <v>31</v>
      </c>
      <c r="L24" s="2" t="s">
        <v>32</v>
      </c>
      <c r="M24" s="2" t="s">
        <v>33</v>
      </c>
      <c r="N24" s="2" t="s">
        <v>178</v>
      </c>
      <c r="O24" s="2" t="s">
        <v>128</v>
      </c>
      <c r="P24" s="2" t="s">
        <v>133</v>
      </c>
      <c r="Q24" s="2"/>
      <c r="R24" s="2">
        <v>10.0</v>
      </c>
      <c r="S24" s="2" t="s">
        <v>134</v>
      </c>
      <c r="T24" s="2"/>
      <c r="U24" s="2"/>
      <c r="V24" s="2"/>
    </row>
    <row r="25">
      <c r="A25" s="2" t="s">
        <v>179</v>
      </c>
      <c r="B25" s="2" t="s">
        <v>180</v>
      </c>
      <c r="C25" s="2" t="s">
        <v>122</v>
      </c>
      <c r="D25" s="2" t="s">
        <v>123</v>
      </c>
      <c r="E25" s="2"/>
      <c r="F25" s="2" t="s">
        <v>181</v>
      </c>
      <c r="G25" s="2"/>
      <c r="H25" s="2"/>
      <c r="I25" s="2" t="s">
        <v>125</v>
      </c>
      <c r="J25" s="3" t="str">
        <f>HYPERLINK("https://www.altinget.dk/artikel/ligestillingsministeriet-er-blevet-en-troestepraemie-med-ansvar-for-alt-og-intet", "Læs artikel")</f>
        <v>Læs artikel</v>
      </c>
      <c r="K25" s="2" t="s">
        <v>31</v>
      </c>
      <c r="L25" s="2" t="s">
        <v>32</v>
      </c>
      <c r="M25" s="2" t="s">
        <v>33</v>
      </c>
      <c r="N25" s="2" t="s">
        <v>182</v>
      </c>
      <c r="O25" s="2" t="s">
        <v>128</v>
      </c>
      <c r="P25" s="2" t="s">
        <v>133</v>
      </c>
      <c r="Q25" s="2"/>
      <c r="R25" s="2">
        <v>10.0</v>
      </c>
      <c r="S25" s="2" t="s">
        <v>134</v>
      </c>
      <c r="T25" s="2"/>
      <c r="U25" s="2"/>
      <c r="V25" s="2"/>
    </row>
    <row r="26">
      <c r="A26" s="2" t="s">
        <v>183</v>
      </c>
      <c r="B26" s="2" t="s">
        <v>184</v>
      </c>
      <c r="C26" s="2" t="s">
        <v>122</v>
      </c>
      <c r="D26" s="2" t="s">
        <v>123</v>
      </c>
      <c r="E26" s="2"/>
      <c r="F26" s="2" t="s">
        <v>185</v>
      </c>
      <c r="G26" s="2"/>
      <c r="H26" s="2"/>
      <c r="I26" s="2" t="s">
        <v>125</v>
      </c>
      <c r="J26" s="3" t="str">
        <f>HYPERLINK("https://www.altinget.dk/artikel/afghanistan-veteran-loekke-sendte-mig-i-krig-nu-vil-han-ikke-forklare-hvorfor", "Læs artikel")</f>
        <v>Læs artikel</v>
      </c>
      <c r="K26" s="2" t="s">
        <v>31</v>
      </c>
      <c r="L26" s="2" t="s">
        <v>32</v>
      </c>
      <c r="M26" s="2" t="s">
        <v>33</v>
      </c>
      <c r="N26" s="2" t="s">
        <v>186</v>
      </c>
      <c r="O26" s="2" t="s">
        <v>128</v>
      </c>
      <c r="P26" s="2"/>
      <c r="Q26" s="2" t="s">
        <v>187</v>
      </c>
      <c r="R26" s="2">
        <v>20.0</v>
      </c>
      <c r="S26" s="2" t="s">
        <v>188</v>
      </c>
      <c r="T26" s="2"/>
      <c r="U26" s="2"/>
      <c r="V26" s="2"/>
    </row>
    <row r="27">
      <c r="A27" s="2" t="s">
        <v>189</v>
      </c>
      <c r="B27" s="2" t="s">
        <v>184</v>
      </c>
      <c r="C27" s="2" t="s">
        <v>122</v>
      </c>
      <c r="D27" s="2" t="s">
        <v>123</v>
      </c>
      <c r="E27" s="2"/>
      <c r="F27" s="2" t="s">
        <v>190</v>
      </c>
      <c r="G27" s="2"/>
      <c r="H27" s="2"/>
      <c r="I27" s="2" t="s">
        <v>125</v>
      </c>
      <c r="J27" s="3" t="str">
        <f>HYPERLINK("https://www.altinget.dk/artikel/flere-uddannelser-er-undladt-i-regeringens-grundlag-det-vil-udfordre-heunicke", "Læs artikel")</f>
        <v>Læs artikel</v>
      </c>
      <c r="K27" s="2" t="s">
        <v>31</v>
      </c>
      <c r="L27" s="2" t="s">
        <v>32</v>
      </c>
      <c r="M27" s="2" t="s">
        <v>33</v>
      </c>
      <c r="N27" s="2" t="s">
        <v>191</v>
      </c>
      <c r="O27" s="2" t="s">
        <v>128</v>
      </c>
      <c r="P27" s="2" t="s">
        <v>192</v>
      </c>
      <c r="Q27" s="2"/>
      <c r="R27" s="2">
        <v>47.0</v>
      </c>
      <c r="S27" s="2" t="s">
        <v>151</v>
      </c>
      <c r="T27" s="2"/>
      <c r="U27" s="2"/>
      <c r="V27" s="2"/>
    </row>
    <row r="28">
      <c r="A28" s="2" t="s">
        <v>193</v>
      </c>
      <c r="B28" s="2" t="s">
        <v>184</v>
      </c>
      <c r="C28" s="2" t="s">
        <v>122</v>
      </c>
      <c r="D28" s="2" t="s">
        <v>123</v>
      </c>
      <c r="E28" s="2"/>
      <c r="F28" s="2" t="s">
        <v>194</v>
      </c>
      <c r="G28" s="2"/>
      <c r="H28" s="2"/>
      <c r="I28" s="2" t="s">
        <v>163</v>
      </c>
      <c r="J28" s="3" t="str">
        <f>HYPERLINK("https://www.altinget.dk/artikel/regeringsgrundlaget-afsloerer-en-stille-revolution-i-dansk-sikkerhedspolitik", "Læs artikel")</f>
        <v>Læs artikel</v>
      </c>
      <c r="K28" s="2" t="s">
        <v>31</v>
      </c>
      <c r="L28" s="2" t="s">
        <v>32</v>
      </c>
      <c r="M28" s="2" t="s">
        <v>33</v>
      </c>
      <c r="N28" s="2" t="s">
        <v>195</v>
      </c>
      <c r="O28" s="2" t="s">
        <v>165</v>
      </c>
      <c r="P28" s="2" t="s">
        <v>104</v>
      </c>
      <c r="Q28" s="2"/>
      <c r="R28" s="2">
        <v>42.0</v>
      </c>
      <c r="S28" s="2" t="s">
        <v>151</v>
      </c>
      <c r="T28" s="2"/>
      <c r="U28" s="2"/>
      <c r="V28" s="2"/>
    </row>
    <row r="29">
      <c r="A29" s="2" t="s">
        <v>196</v>
      </c>
      <c r="B29" s="2" t="s">
        <v>197</v>
      </c>
      <c r="C29" s="2" t="s">
        <v>122</v>
      </c>
      <c r="D29" s="2" t="s">
        <v>123</v>
      </c>
      <c r="E29" s="2"/>
      <c r="F29" s="2" t="s">
        <v>198</v>
      </c>
      <c r="G29" s="2"/>
      <c r="H29" s="2"/>
      <c r="I29" s="2" t="s">
        <v>163</v>
      </c>
      <c r="J29" s="3" t="str">
        <f>HYPERLINK("https://www.altinget.dk/artikel/historiker-det-kan-mette-frederiksen-laere-af-schluters-firkloever", "Læs artikel")</f>
        <v>Læs artikel</v>
      </c>
      <c r="K29" s="2" t="s">
        <v>31</v>
      </c>
      <c r="L29" s="2" t="s">
        <v>32</v>
      </c>
      <c r="M29" s="2" t="s">
        <v>33</v>
      </c>
      <c r="N29" s="2" t="s">
        <v>199</v>
      </c>
      <c r="O29" s="2" t="s">
        <v>165</v>
      </c>
      <c r="P29" s="2"/>
      <c r="Q29" s="2" t="s">
        <v>200</v>
      </c>
      <c r="R29" s="2">
        <v>20.0</v>
      </c>
      <c r="S29" s="2" t="s">
        <v>188</v>
      </c>
      <c r="T29" s="2"/>
      <c r="U29" s="2"/>
      <c r="V29" s="2"/>
    </row>
    <row r="30">
      <c r="A30" s="2" t="s">
        <v>201</v>
      </c>
      <c r="B30" s="2" t="s">
        <v>197</v>
      </c>
      <c r="C30" s="2" t="s">
        <v>122</v>
      </c>
      <c r="D30" s="2" t="s">
        <v>123</v>
      </c>
      <c r="E30" s="2"/>
      <c r="F30" s="2" t="s">
        <v>202</v>
      </c>
      <c r="G30" s="2"/>
      <c r="H30" s="2"/>
      <c r="I30" s="2" t="s">
        <v>30</v>
      </c>
      <c r="J30" s="3" t="str">
        <f>HYPERLINK("https://www.altinget.dk/artikel/groennegaard-disse-tre-aendringer-med-regeringsdannelsen-behoever-granskning", "Læs artikel")</f>
        <v>Læs artikel</v>
      </c>
      <c r="K30" s="2" t="s">
        <v>31</v>
      </c>
      <c r="L30" s="2" t="s">
        <v>32</v>
      </c>
      <c r="M30" s="2" t="s">
        <v>33</v>
      </c>
      <c r="N30" s="2" t="s">
        <v>203</v>
      </c>
      <c r="O30" s="2" t="s">
        <v>35</v>
      </c>
      <c r="P30" s="2" t="s">
        <v>138</v>
      </c>
      <c r="Q30" s="2"/>
      <c r="R30" s="2">
        <v>20.0</v>
      </c>
      <c r="S30" s="2" t="s">
        <v>97</v>
      </c>
      <c r="T30" s="2"/>
      <c r="U30" s="2"/>
      <c r="V30" s="2"/>
    </row>
    <row r="31">
      <c r="A31" s="2" t="s">
        <v>204</v>
      </c>
      <c r="B31" s="2" t="s">
        <v>197</v>
      </c>
      <c r="C31" s="2" t="s">
        <v>122</v>
      </c>
      <c r="D31" s="2" t="s">
        <v>123</v>
      </c>
      <c r="E31" s="2"/>
      <c r="F31" s="2" t="s">
        <v>205</v>
      </c>
      <c r="G31" s="2"/>
      <c r="H31" s="2"/>
      <c r="I31" s="2" t="s">
        <v>163</v>
      </c>
      <c r="J31" s="3" t="str">
        <f>HYPERLINK("https://www.altinget.dk/artikel/soeren-lippert-i-den-nye-regering-er-alt-fra-foedevaremoms-til-udlaendingepolitik-geopolitik", "Læs artikel")</f>
        <v>Læs artikel</v>
      </c>
      <c r="K31" s="2" t="s">
        <v>31</v>
      </c>
      <c r="L31" s="2" t="s">
        <v>32</v>
      </c>
      <c r="M31" s="2" t="s">
        <v>33</v>
      </c>
      <c r="N31" s="2" t="s">
        <v>206</v>
      </c>
      <c r="O31" s="2" t="s">
        <v>165</v>
      </c>
      <c r="P31" s="2" t="s">
        <v>207</v>
      </c>
      <c r="Q31" s="2"/>
      <c r="R31" s="2">
        <v>47.0</v>
      </c>
      <c r="S31" s="2" t="s">
        <v>151</v>
      </c>
      <c r="T31" s="2"/>
      <c r="U31" s="2"/>
      <c r="V31" s="2"/>
    </row>
    <row r="32">
      <c r="A32" s="2" t="s">
        <v>208</v>
      </c>
      <c r="B32" s="2" t="s">
        <v>197</v>
      </c>
      <c r="C32" s="2" t="s">
        <v>122</v>
      </c>
      <c r="D32" s="2" t="s">
        <v>123</v>
      </c>
      <c r="E32" s="2"/>
      <c r="F32" s="2" t="s">
        <v>209</v>
      </c>
      <c r="G32" s="2"/>
      <c r="H32" s="2"/>
      <c r="I32" s="2" t="s">
        <v>125</v>
      </c>
      <c r="J32" s="3" t="str">
        <f>HYPERLINK("https://www.altinget.dk/artikel/professor-hvis-borgere-skal-have-tillid-til-vacciner-skal-vi-ogsaa-forske-de-ubehagelige-spoergsmaal", "Læs artikel")</f>
        <v>Læs artikel</v>
      </c>
      <c r="K32" s="2" t="s">
        <v>31</v>
      </c>
      <c r="L32" s="2" t="s">
        <v>32</v>
      </c>
      <c r="M32" s="2" t="s">
        <v>33</v>
      </c>
      <c r="N32" s="2" t="s">
        <v>210</v>
      </c>
      <c r="O32" s="2" t="s">
        <v>128</v>
      </c>
      <c r="P32" s="2" t="s">
        <v>118</v>
      </c>
      <c r="Q32" s="2"/>
      <c r="R32" s="2">
        <v>10.0</v>
      </c>
      <c r="S32" s="2" t="s">
        <v>134</v>
      </c>
      <c r="T32" s="2"/>
      <c r="U32" s="2"/>
      <c r="V32" s="2"/>
    </row>
    <row r="33">
      <c r="A33" s="2" t="s">
        <v>211</v>
      </c>
      <c r="B33" s="2" t="s">
        <v>212</v>
      </c>
      <c r="C33" s="2" t="s">
        <v>122</v>
      </c>
      <c r="D33" s="2" t="s">
        <v>123</v>
      </c>
      <c r="E33" s="2"/>
      <c r="F33" s="2" t="s">
        <v>213</v>
      </c>
      <c r="G33" s="2"/>
      <c r="H33" s="2"/>
      <c r="I33" s="2" t="s">
        <v>125</v>
      </c>
      <c r="J33" s="3" t="str">
        <f>HYPERLINK("https://www.altinget.dk/artikel/det-er-ikke-tilfaeldigt-at-sundheds-og-kirkeministeriet-er-smeltet-sammen", "Læs artikel")</f>
        <v>Læs artikel</v>
      </c>
      <c r="K33" s="2" t="s">
        <v>31</v>
      </c>
      <c r="L33" s="2" t="s">
        <v>32</v>
      </c>
      <c r="M33" s="2" t="s">
        <v>33</v>
      </c>
      <c r="N33" s="2" t="s">
        <v>214</v>
      </c>
      <c r="O33" s="2" t="s">
        <v>128</v>
      </c>
      <c r="P33" s="2" t="s">
        <v>133</v>
      </c>
      <c r="Q33" s="2"/>
      <c r="R33" s="2">
        <v>10.0</v>
      </c>
      <c r="S33" s="2" t="s">
        <v>134</v>
      </c>
      <c r="T33" s="2" t="s">
        <v>215</v>
      </c>
      <c r="U33" s="2"/>
      <c r="V33" s="2"/>
    </row>
    <row r="34">
      <c r="A34" s="2" t="s">
        <v>216</v>
      </c>
      <c r="B34" s="2" t="s">
        <v>217</v>
      </c>
      <c r="C34" s="2" t="s">
        <v>122</v>
      </c>
      <c r="D34" s="2" t="s">
        <v>123</v>
      </c>
      <c r="E34" s="2"/>
      <c r="F34" s="2" t="s">
        <v>218</v>
      </c>
      <c r="G34" s="2"/>
      <c r="H34" s="2"/>
      <c r="I34" s="2" t="s">
        <v>125</v>
      </c>
      <c r="J34" s="3" t="str">
        <f>HYPERLINK("https://www.altinget.dk/artikel/radikale-har-foer-sejret-ad-helvede-til-nu-skal-lidegaard-staa-den-store-test", "Læs artikel")</f>
        <v>Læs artikel</v>
      </c>
      <c r="K34" s="2" t="s">
        <v>31</v>
      </c>
      <c r="L34" s="2" t="s">
        <v>32</v>
      </c>
      <c r="M34" s="2" t="s">
        <v>33</v>
      </c>
      <c r="N34" s="2" t="s">
        <v>219</v>
      </c>
      <c r="O34" s="2" t="s">
        <v>128</v>
      </c>
      <c r="P34" s="2" t="s">
        <v>133</v>
      </c>
      <c r="Q34" s="2" t="s">
        <v>220</v>
      </c>
      <c r="R34" s="2">
        <v>10.0</v>
      </c>
      <c r="S34" s="2" t="s">
        <v>134</v>
      </c>
      <c r="T34" s="2"/>
      <c r="U34" s="2"/>
      <c r="V34" s="2"/>
    </row>
    <row r="35">
      <c r="A35" s="2" t="s">
        <v>221</v>
      </c>
      <c r="B35" s="2" t="s">
        <v>222</v>
      </c>
      <c r="C35" s="2" t="s">
        <v>122</v>
      </c>
      <c r="D35" s="2" t="s">
        <v>123</v>
      </c>
      <c r="E35" s="2"/>
      <c r="F35" s="2" t="s">
        <v>223</v>
      </c>
      <c r="G35" s="2"/>
      <c r="H35" s="2"/>
      <c r="I35" s="2" t="s">
        <v>125</v>
      </c>
      <c r="J35" s="3" t="str">
        <f>HYPERLINK("https://www.altinget.dk/artikel/bertel-haarder-den-nye-firkloeverregering-pynter-sig-med-laante-fjer-fra-schluter-aarene", "Læs artikel")</f>
        <v>Læs artikel</v>
      </c>
      <c r="K35" s="2" t="s">
        <v>31</v>
      </c>
      <c r="L35" s="2" t="s">
        <v>32</v>
      </c>
      <c r="M35" s="2" t="s">
        <v>33</v>
      </c>
      <c r="N35" s="2" t="s">
        <v>224</v>
      </c>
      <c r="O35" s="2" t="s">
        <v>128</v>
      </c>
      <c r="P35" s="2" t="s">
        <v>133</v>
      </c>
      <c r="Q35" s="2"/>
      <c r="R35" s="2">
        <v>10.0</v>
      </c>
      <c r="S35" s="2" t="s">
        <v>134</v>
      </c>
      <c r="T35" s="2"/>
      <c r="U35" s="2"/>
      <c r="V35" s="2"/>
    </row>
    <row r="36">
      <c r="A36" s="2" t="s">
        <v>225</v>
      </c>
      <c r="B36" s="2" t="s">
        <v>226</v>
      </c>
      <c r="C36" s="2" t="s">
        <v>227</v>
      </c>
      <c r="D36" s="2" t="s">
        <v>123</v>
      </c>
      <c r="E36" s="2"/>
      <c r="F36" s="2" t="s">
        <v>228</v>
      </c>
      <c r="G36" s="2"/>
      <c r="H36" s="2"/>
      <c r="I36" s="2" t="s">
        <v>125</v>
      </c>
      <c r="J36" s="3" t="str">
        <f>HYPERLINK("https://avisendanmark.dk/debat/hvis-du-er-borgerlig-er-de-naeste-aar-op-ad-bakke-en-stigning-naesten-uden-for-kategori", "Læs artikel")</f>
        <v>Læs artikel</v>
      </c>
      <c r="K36" s="2" t="s">
        <v>31</v>
      </c>
      <c r="L36" s="2" t="s">
        <v>32</v>
      </c>
      <c r="M36" s="2" t="s">
        <v>33</v>
      </c>
      <c r="N36" s="2" t="s">
        <v>229</v>
      </c>
      <c r="O36" s="2" t="s">
        <v>128</v>
      </c>
      <c r="P36" s="2"/>
      <c r="Q36" s="2"/>
      <c r="R36" s="2">
        <v>18.0</v>
      </c>
      <c r="S36" s="2" t="s">
        <v>112</v>
      </c>
      <c r="T36" s="2"/>
      <c r="U36" s="2"/>
      <c r="V36" s="2"/>
    </row>
    <row r="37">
      <c r="A37" s="2" t="s">
        <v>230</v>
      </c>
      <c r="B37" s="2" t="s">
        <v>226</v>
      </c>
      <c r="C37" s="2" t="s">
        <v>227</v>
      </c>
      <c r="D37" s="2" t="s">
        <v>123</v>
      </c>
      <c r="E37" s="2"/>
      <c r="F37" s="2" t="s">
        <v>231</v>
      </c>
      <c r="G37" s="2" t="s">
        <v>232</v>
      </c>
      <c r="H37" s="2" t="s">
        <v>233</v>
      </c>
      <c r="I37" s="2" t="s">
        <v>234</v>
      </c>
      <c r="J37" s="3" t="str">
        <f>HYPERLINK("https://avisendanmark.dk/debat/hvis-du-vil-vaere-partileder-kan-du-starte-hos-stylisten", "Læs artikel")</f>
        <v>Læs artikel</v>
      </c>
      <c r="K37" s="2" t="s">
        <v>31</v>
      </c>
      <c r="L37" s="2" t="s">
        <v>32</v>
      </c>
      <c r="M37" s="2" t="s">
        <v>33</v>
      </c>
      <c r="N37" s="2" t="s">
        <v>235</v>
      </c>
      <c r="O37" s="2"/>
      <c r="P37" s="2" t="s">
        <v>133</v>
      </c>
      <c r="Q37" s="2"/>
      <c r="R37" s="2">
        <v>10.0</v>
      </c>
      <c r="S37" s="2" t="s">
        <v>134</v>
      </c>
      <c r="T37" s="2"/>
      <c r="U37" s="2"/>
      <c r="V37" s="2"/>
    </row>
    <row r="38">
      <c r="A38" s="2" t="s">
        <v>236</v>
      </c>
      <c r="B38" s="2" t="s">
        <v>226</v>
      </c>
      <c r="C38" s="2" t="s">
        <v>227</v>
      </c>
      <c r="D38" s="2" t="s">
        <v>123</v>
      </c>
      <c r="E38" s="2"/>
      <c r="F38" s="2" t="s">
        <v>237</v>
      </c>
      <c r="G38" s="2" t="s">
        <v>238</v>
      </c>
      <c r="H38" s="2" t="s">
        <v>239</v>
      </c>
      <c r="I38" s="2" t="s">
        <v>240</v>
      </c>
      <c r="J38" s="3" t="str">
        <f>HYPERLINK("https://avisendanmark.dk/debat/fortaellingen-om-de-efterladte-maend-er-for-simpel", "Læs artikel")</f>
        <v>Læs artikel</v>
      </c>
      <c r="K38" s="2" t="s">
        <v>31</v>
      </c>
      <c r="L38" s="2" t="s">
        <v>32</v>
      </c>
      <c r="M38" s="2" t="s">
        <v>33</v>
      </c>
      <c r="N38" s="2" t="s">
        <v>241</v>
      </c>
      <c r="O38" s="2" t="s">
        <v>242</v>
      </c>
      <c r="P38" s="2" t="s">
        <v>243</v>
      </c>
      <c r="Q38" s="2"/>
      <c r="R38" s="2">
        <v>8.0</v>
      </c>
      <c r="S38" s="2" t="s">
        <v>145</v>
      </c>
      <c r="T38" s="2"/>
      <c r="U38" s="2"/>
      <c r="V38" s="2"/>
    </row>
    <row r="39">
      <c r="A39" s="2" t="s">
        <v>244</v>
      </c>
      <c r="B39" s="2" t="s">
        <v>226</v>
      </c>
      <c r="C39" s="2" t="s">
        <v>227</v>
      </c>
      <c r="D39" s="2" t="s">
        <v>123</v>
      </c>
      <c r="E39" s="2"/>
      <c r="F39" s="2" t="s">
        <v>245</v>
      </c>
      <c r="G39" s="2" t="s">
        <v>246</v>
      </c>
      <c r="H39" s="2" t="s">
        <v>247</v>
      </c>
      <c r="I39" s="2" t="s">
        <v>240</v>
      </c>
      <c r="J39" s="3" t="str">
        <f>HYPERLINK("https://avisendanmark.dk/debat/usa-forhandler-nu-betingelserne-for-sit-nederlag-i-golfen", "Læs artikel")</f>
        <v>Læs artikel</v>
      </c>
      <c r="K39" s="2" t="s">
        <v>31</v>
      </c>
      <c r="L39" s="2" t="s">
        <v>32</v>
      </c>
      <c r="M39" s="2" t="s">
        <v>33</v>
      </c>
      <c r="N39" s="2" t="s">
        <v>248</v>
      </c>
      <c r="O39" s="2" t="s">
        <v>242</v>
      </c>
      <c r="P39" s="2" t="s">
        <v>249</v>
      </c>
      <c r="Q39" s="2"/>
      <c r="R39" s="2">
        <v>0.0</v>
      </c>
      <c r="S39" s="2"/>
      <c r="T39" s="2"/>
      <c r="U39" s="2"/>
      <c r="V39" s="2"/>
    </row>
    <row r="40">
      <c r="A40" s="2" t="s">
        <v>250</v>
      </c>
      <c r="B40" s="2" t="s">
        <v>226</v>
      </c>
      <c r="C40" s="2" t="s">
        <v>227</v>
      </c>
      <c r="D40" s="2" t="s">
        <v>123</v>
      </c>
      <c r="E40" s="2"/>
      <c r="F40" s="2" t="s">
        <v>251</v>
      </c>
      <c r="G40" s="2" t="s">
        <v>252</v>
      </c>
      <c r="H40" s="2" t="s">
        <v>253</v>
      </c>
      <c r="I40" s="2" t="s">
        <v>163</v>
      </c>
      <c r="J40" s="3" t="str">
        <f>HYPERLINK("https://avisendanmark.dk/debat/goer-nu-noget-ved-det-gigten-stjaeler-aarligt-33-000-aarsvaerk", "Læs artikel")</f>
        <v>Læs artikel</v>
      </c>
      <c r="K40" s="2" t="s">
        <v>31</v>
      </c>
      <c r="L40" s="2" t="s">
        <v>32</v>
      </c>
      <c r="M40" s="2" t="s">
        <v>33</v>
      </c>
      <c r="N40" s="2" t="s">
        <v>254</v>
      </c>
      <c r="O40" s="2" t="s">
        <v>165</v>
      </c>
      <c r="P40" s="2" t="s">
        <v>243</v>
      </c>
      <c r="Q40" s="2"/>
      <c r="R40" s="2">
        <v>8.0</v>
      </c>
      <c r="S40" s="2" t="s">
        <v>145</v>
      </c>
      <c r="T40" s="2"/>
      <c r="U40" s="2"/>
      <c r="V40" s="2"/>
    </row>
    <row r="41">
      <c r="A41" s="2" t="s">
        <v>255</v>
      </c>
      <c r="B41" s="2" t="s">
        <v>226</v>
      </c>
      <c r="C41" s="2" t="s">
        <v>227</v>
      </c>
      <c r="D41" s="2" t="s">
        <v>123</v>
      </c>
      <c r="E41" s="2"/>
      <c r="F41" s="2" t="s">
        <v>256</v>
      </c>
      <c r="G41" s="2" t="s">
        <v>257</v>
      </c>
      <c r="H41" s="2" t="s">
        <v>258</v>
      </c>
      <c r="I41" s="2" t="s">
        <v>234</v>
      </c>
      <c r="J41" s="3" t="str">
        <f>HYPERLINK("https://avisendanmark.dk/debat/sebastian-dorset-naar-det-igen-gaar-galt-i-det-offentlige", "Læs artikel")</f>
        <v>Læs artikel</v>
      </c>
      <c r="K41" s="2" t="s">
        <v>31</v>
      </c>
      <c r="L41" s="2" t="s">
        <v>32</v>
      </c>
      <c r="M41" s="2" t="s">
        <v>33</v>
      </c>
      <c r="N41" s="2" t="s">
        <v>259</v>
      </c>
      <c r="O41" s="2"/>
      <c r="P41" s="2"/>
      <c r="Q41" s="2"/>
      <c r="R41" s="2">
        <v>0.0</v>
      </c>
      <c r="S41" s="2"/>
      <c r="T41" s="2"/>
      <c r="U41" s="2"/>
      <c r="V41" s="2"/>
    </row>
    <row r="42">
      <c r="A42" s="2" t="s">
        <v>260</v>
      </c>
      <c r="B42" s="2" t="s">
        <v>226</v>
      </c>
      <c r="C42" s="2" t="s">
        <v>227</v>
      </c>
      <c r="D42" s="2" t="s">
        <v>123</v>
      </c>
      <c r="E42" s="2"/>
      <c r="F42" s="2" t="s">
        <v>261</v>
      </c>
      <c r="G42" s="2" t="s">
        <v>262</v>
      </c>
      <c r="H42" s="2" t="s">
        <v>263</v>
      </c>
      <c r="I42" s="2" t="s">
        <v>240</v>
      </c>
      <c r="J42" s="3" t="str">
        <f>HYPERLINK("https://avisendanmark.dk/debat/der-er-brug-for-en-national-task-force-for-naturpleje", "Læs artikel")</f>
        <v>Læs artikel</v>
      </c>
      <c r="K42" s="2" t="s">
        <v>31</v>
      </c>
      <c r="L42" s="2" t="s">
        <v>32</v>
      </c>
      <c r="M42" s="2" t="s">
        <v>33</v>
      </c>
      <c r="N42" s="2" t="s">
        <v>264</v>
      </c>
      <c r="O42" s="2" t="s">
        <v>242</v>
      </c>
      <c r="P42" s="2" t="s">
        <v>41</v>
      </c>
      <c r="Q42" s="2"/>
      <c r="R42" s="2">
        <v>0.0</v>
      </c>
      <c r="S42" s="2"/>
      <c r="T42" s="2"/>
      <c r="U42" s="2"/>
      <c r="V42" s="2"/>
    </row>
    <row r="43">
      <c r="A43" s="2" t="s">
        <v>265</v>
      </c>
      <c r="B43" s="2" t="s">
        <v>226</v>
      </c>
      <c r="C43" s="2" t="s">
        <v>227</v>
      </c>
      <c r="D43" s="2" t="s">
        <v>123</v>
      </c>
      <c r="E43" s="2"/>
      <c r="F43" s="2" t="s">
        <v>266</v>
      </c>
      <c r="G43" s="2" t="s">
        <v>267</v>
      </c>
      <c r="H43" s="2" t="s">
        <v>268</v>
      </c>
      <c r="I43" s="2" t="s">
        <v>234</v>
      </c>
      <c r="J43" s="3" t="str">
        <f>HYPERLINK("https://avisendanmark.dk/debat/al-sydbank-ecb-frygter-fortiden-men-problemet-er-ikke-loenningerne", "Læs artikel")</f>
        <v>Læs artikel</v>
      </c>
      <c r="K43" s="2" t="s">
        <v>31</v>
      </c>
      <c r="L43" s="2" t="s">
        <v>32</v>
      </c>
      <c r="M43" s="2" t="s">
        <v>33</v>
      </c>
      <c r="N43" s="2" t="s">
        <v>269</v>
      </c>
      <c r="O43" s="2"/>
      <c r="P43" s="2" t="s">
        <v>270</v>
      </c>
      <c r="Q43" s="2"/>
      <c r="R43" s="2">
        <v>10.0</v>
      </c>
      <c r="S43" s="2" t="s">
        <v>74</v>
      </c>
      <c r="T43" s="2"/>
      <c r="U43" s="2"/>
      <c r="V43" s="2"/>
    </row>
    <row r="44">
      <c r="A44" s="2" t="s">
        <v>271</v>
      </c>
      <c r="B44" s="2" t="s">
        <v>226</v>
      </c>
      <c r="C44" s="2" t="s">
        <v>227</v>
      </c>
      <c r="D44" s="2" t="s">
        <v>123</v>
      </c>
      <c r="E44" s="2"/>
      <c r="F44" s="2" t="s">
        <v>272</v>
      </c>
      <c r="G44" s="2"/>
      <c r="H44" s="2" t="s">
        <v>273</v>
      </c>
      <c r="I44" s="2" t="s">
        <v>240</v>
      </c>
      <c r="J44" s="3" t="str">
        <f>HYPERLINK("https://avisendanmark.dk/debat/flere-raske-aar-kraever-en-folkesundhedslov-i-regeringsgrundlaget", "Læs artikel")</f>
        <v>Læs artikel</v>
      </c>
      <c r="K44" s="2" t="s">
        <v>31</v>
      </c>
      <c r="L44" s="2" t="s">
        <v>32</v>
      </c>
      <c r="M44" s="2" t="s">
        <v>33</v>
      </c>
      <c r="N44" s="2" t="s">
        <v>274</v>
      </c>
      <c r="O44" s="2" t="s">
        <v>242</v>
      </c>
      <c r="P44" s="2" t="s">
        <v>150</v>
      </c>
      <c r="Q44" s="2"/>
      <c r="R44" s="2">
        <v>47.0</v>
      </c>
      <c r="S44" s="2" t="s">
        <v>151</v>
      </c>
      <c r="T44" s="2"/>
      <c r="U44" s="2"/>
      <c r="V44" s="2"/>
    </row>
    <row r="45">
      <c r="A45" s="2" t="s">
        <v>275</v>
      </c>
      <c r="B45" s="2" t="s">
        <v>226</v>
      </c>
      <c r="C45" s="2" t="s">
        <v>227</v>
      </c>
      <c r="D45" s="2" t="s">
        <v>123</v>
      </c>
      <c r="E45" s="2"/>
      <c r="F45" s="2" t="s">
        <v>276</v>
      </c>
      <c r="G45" s="2" t="s">
        <v>277</v>
      </c>
      <c r="H45" s="2" t="s">
        <v>278</v>
      </c>
      <c r="I45" s="2" t="s">
        <v>240</v>
      </c>
      <c r="J45" s="3" t="str">
        <f>HYPERLINK("https://avisendanmark.dk/debat/jeg-droemmer-om-en-madkultur-vi-kan-vaere-stolte-af", "Læs artikel")</f>
        <v>Læs artikel</v>
      </c>
      <c r="K45" s="2" t="s">
        <v>31</v>
      </c>
      <c r="L45" s="2" t="s">
        <v>32</v>
      </c>
      <c r="M45" s="2" t="s">
        <v>33</v>
      </c>
      <c r="N45" s="2" t="s">
        <v>279</v>
      </c>
      <c r="O45" s="2" t="s">
        <v>242</v>
      </c>
      <c r="P45" s="2" t="s">
        <v>280</v>
      </c>
      <c r="Q45" s="2"/>
      <c r="R45" s="2">
        <v>28.0</v>
      </c>
      <c r="S45" s="2" t="s">
        <v>281</v>
      </c>
      <c r="T45" s="2"/>
      <c r="U45" s="2"/>
      <c r="V45" s="2"/>
    </row>
    <row r="46">
      <c r="A46" s="2" t="s">
        <v>282</v>
      </c>
      <c r="B46" s="2" t="s">
        <v>226</v>
      </c>
      <c r="C46" s="2" t="s">
        <v>227</v>
      </c>
      <c r="D46" s="2" t="s">
        <v>123</v>
      </c>
      <c r="E46" s="2"/>
      <c r="F46" s="2" t="s">
        <v>283</v>
      </c>
      <c r="G46" s="2" t="s">
        <v>284</v>
      </c>
      <c r="H46" s="2" t="s">
        <v>285</v>
      </c>
      <c r="I46" s="2" t="s">
        <v>240</v>
      </c>
      <c r="J46" s="3" t="str">
        <f>HYPERLINK("https://avisendanmark.dk/debat/borgmester-als-fyn-forbindelsen-kan-reducere-flaskehalse", "Læs artikel")</f>
        <v>Læs artikel</v>
      </c>
      <c r="K46" s="2" t="s">
        <v>31</v>
      </c>
      <c r="L46" s="2" t="s">
        <v>32</v>
      </c>
      <c r="M46" s="2" t="s">
        <v>33</v>
      </c>
      <c r="N46" s="2" t="s">
        <v>286</v>
      </c>
      <c r="O46" s="2" t="s">
        <v>242</v>
      </c>
      <c r="P46" s="2" t="s">
        <v>287</v>
      </c>
      <c r="Q46" s="2"/>
      <c r="R46" s="2">
        <v>48.0</v>
      </c>
      <c r="S46" s="2" t="s">
        <v>288</v>
      </c>
      <c r="T46" s="2"/>
      <c r="U46" s="2"/>
      <c r="V46" s="2"/>
    </row>
    <row r="47">
      <c r="A47" s="2" t="s">
        <v>289</v>
      </c>
      <c r="B47" s="2" t="s">
        <v>226</v>
      </c>
      <c r="C47" s="2" t="s">
        <v>227</v>
      </c>
      <c r="D47" s="2" t="s">
        <v>123</v>
      </c>
      <c r="E47" s="2"/>
      <c r="F47" s="2" t="s">
        <v>290</v>
      </c>
      <c r="G47" s="2" t="s">
        <v>291</v>
      </c>
      <c r="H47" s="2" t="s">
        <v>292</v>
      </c>
      <c r="I47" s="2" t="s">
        <v>240</v>
      </c>
      <c r="J47" s="3" t="str">
        <f>HYPERLINK("https://avisendanmark.dk/debat/regeringsforhandlinger-egoistiske-saerstandpunkter-maa-laegges-til-side", "Læs artikel")</f>
        <v>Læs artikel</v>
      </c>
      <c r="K47" s="2" t="s">
        <v>31</v>
      </c>
      <c r="L47" s="2" t="s">
        <v>32</v>
      </c>
      <c r="M47" s="2" t="s">
        <v>33</v>
      </c>
      <c r="N47" s="2" t="s">
        <v>293</v>
      </c>
      <c r="O47" s="2" t="s">
        <v>242</v>
      </c>
      <c r="P47" s="2" t="s">
        <v>133</v>
      </c>
      <c r="Q47" s="2"/>
      <c r="R47" s="2">
        <v>10.0</v>
      </c>
      <c r="S47" s="2" t="s">
        <v>134</v>
      </c>
      <c r="T47" s="2" t="s">
        <v>215</v>
      </c>
      <c r="U47" s="2"/>
      <c r="V47" s="2"/>
    </row>
    <row r="48">
      <c r="A48" s="2" t="s">
        <v>294</v>
      </c>
      <c r="B48" s="2" t="s">
        <v>226</v>
      </c>
      <c r="C48" s="2" t="s">
        <v>227</v>
      </c>
      <c r="D48" s="2" t="s">
        <v>123</v>
      </c>
      <c r="E48" s="2"/>
      <c r="F48" s="2" t="s">
        <v>295</v>
      </c>
      <c r="G48" s="2" t="s">
        <v>296</v>
      </c>
      <c r="H48" s="2" t="s">
        <v>297</v>
      </c>
      <c r="I48" s="2" t="s">
        <v>163</v>
      </c>
      <c r="J48" s="3" t="str">
        <f>HYPERLINK("https://avisendanmark.dk/debat/dm-ny-regering-skal-goere-op-med-stress-og-graenseloest-arbejdsliv", "Læs artikel")</f>
        <v>Læs artikel</v>
      </c>
      <c r="K48" s="2" t="s">
        <v>31</v>
      </c>
      <c r="L48" s="2" t="s">
        <v>32</v>
      </c>
      <c r="M48" s="2" t="s">
        <v>33</v>
      </c>
      <c r="N48" s="2" t="s">
        <v>298</v>
      </c>
      <c r="O48" s="2" t="s">
        <v>165</v>
      </c>
      <c r="P48" s="2" t="s">
        <v>299</v>
      </c>
      <c r="Q48" s="2"/>
      <c r="R48" s="2">
        <v>28.0</v>
      </c>
      <c r="S48" s="2" t="s">
        <v>281</v>
      </c>
      <c r="T48" s="2"/>
      <c r="U48" s="2"/>
      <c r="V48" s="2"/>
    </row>
    <row r="49">
      <c r="A49" s="2" t="s">
        <v>300</v>
      </c>
      <c r="B49" s="2" t="s">
        <v>226</v>
      </c>
      <c r="C49" s="2" t="s">
        <v>227</v>
      </c>
      <c r="D49" s="2" t="s">
        <v>123</v>
      </c>
      <c r="E49" s="2"/>
      <c r="F49" s="2" t="s">
        <v>301</v>
      </c>
      <c r="G49" s="2" t="s">
        <v>302</v>
      </c>
      <c r="H49" s="2" t="s">
        <v>303</v>
      </c>
      <c r="I49" s="2" t="s">
        <v>240</v>
      </c>
      <c r="J49" s="3" t="str">
        <f>HYPERLINK("https://avisendanmark.dk/debat/millioner-af-bilejere-skal-kunne-sove-trygt-om-natten", "Læs artikel")</f>
        <v>Læs artikel</v>
      </c>
      <c r="K49" s="2" t="s">
        <v>31</v>
      </c>
      <c r="L49" s="2" t="s">
        <v>32</v>
      </c>
      <c r="M49" s="2" t="s">
        <v>33</v>
      </c>
      <c r="N49" s="2" t="s">
        <v>304</v>
      </c>
      <c r="O49" s="2" t="s">
        <v>242</v>
      </c>
      <c r="P49" s="2"/>
      <c r="Q49" s="2"/>
      <c r="R49" s="2">
        <v>0.0</v>
      </c>
      <c r="S49" s="2"/>
      <c r="T49" s="2"/>
      <c r="U49" s="2"/>
      <c r="V49" s="2"/>
    </row>
    <row r="50">
      <c r="A50" s="2" t="s">
        <v>305</v>
      </c>
      <c r="B50" s="2" t="s">
        <v>226</v>
      </c>
      <c r="C50" s="2" t="s">
        <v>227</v>
      </c>
      <c r="D50" s="2" t="s">
        <v>123</v>
      </c>
      <c r="E50" s="2"/>
      <c r="F50" s="2" t="s">
        <v>306</v>
      </c>
      <c r="G50" s="2" t="s">
        <v>307</v>
      </c>
      <c r="H50" s="2" t="s">
        <v>308</v>
      </c>
      <c r="I50" s="2" t="s">
        <v>240</v>
      </c>
      <c r="J50" s="3" t="str">
        <f>HYPERLINK("https://avisendanmark.dk/debat/stop-med-at-grave-fremtidens-klima-op-af-jorden", "Læs artikel")</f>
        <v>Læs artikel</v>
      </c>
      <c r="K50" s="2" t="s">
        <v>31</v>
      </c>
      <c r="L50" s="2" t="s">
        <v>32</v>
      </c>
      <c r="M50" s="2" t="s">
        <v>33</v>
      </c>
      <c r="N50" s="2" t="s">
        <v>309</v>
      </c>
      <c r="O50" s="2" t="s">
        <v>242</v>
      </c>
      <c r="P50" s="2" t="s">
        <v>310</v>
      </c>
      <c r="Q50" s="2"/>
      <c r="R50" s="2">
        <v>18.0</v>
      </c>
      <c r="S50" s="2" t="s">
        <v>311</v>
      </c>
      <c r="T50" s="2"/>
      <c r="U50" s="2"/>
      <c r="V50" s="2"/>
    </row>
    <row r="51">
      <c r="A51" s="2" t="s">
        <v>312</v>
      </c>
      <c r="B51" s="2" t="s">
        <v>226</v>
      </c>
      <c r="C51" s="2" t="s">
        <v>227</v>
      </c>
      <c r="D51" s="2" t="s">
        <v>123</v>
      </c>
      <c r="E51" s="2"/>
      <c r="F51" s="2" t="s">
        <v>313</v>
      </c>
      <c r="G51" s="2" t="s">
        <v>314</v>
      </c>
      <c r="H51" s="2" t="s">
        <v>315</v>
      </c>
      <c r="I51" s="2" t="s">
        <v>240</v>
      </c>
      <c r="J51" s="3" t="str">
        <f>HYPERLINK("https://avisendanmark.dk/debat/inger-stoejberg-fortryder-intet-og-det-burde-skraemme-os", "Læs artikel")</f>
        <v>Læs artikel</v>
      </c>
      <c r="K51" s="2" t="s">
        <v>31</v>
      </c>
      <c r="L51" s="2" t="s">
        <v>32</v>
      </c>
      <c r="M51" s="2" t="s">
        <v>33</v>
      </c>
      <c r="N51" s="2" t="s">
        <v>316</v>
      </c>
      <c r="O51" s="2" t="s">
        <v>242</v>
      </c>
      <c r="P51" s="2"/>
      <c r="Q51" s="2"/>
      <c r="R51" s="2">
        <v>0.0</v>
      </c>
      <c r="S51" s="2"/>
      <c r="T51" s="2"/>
      <c r="U51" s="2"/>
      <c r="V51" s="2"/>
    </row>
    <row r="52">
      <c r="A52" s="2" t="s">
        <v>317</v>
      </c>
      <c r="B52" s="2" t="s">
        <v>226</v>
      </c>
      <c r="C52" s="2" t="s">
        <v>227</v>
      </c>
      <c r="D52" s="2" t="s">
        <v>123</v>
      </c>
      <c r="E52" s="2"/>
      <c r="F52" s="2" t="s">
        <v>318</v>
      </c>
      <c r="G52" s="2" t="s">
        <v>319</v>
      </c>
      <c r="H52" s="2" t="s">
        <v>320</v>
      </c>
      <c r="I52" s="2" t="s">
        <v>240</v>
      </c>
      <c r="J52" s="3" t="str">
        <f>HYPERLINK("https://avisendanmark.dk/debat/vores-kyster-skal-beskyttes-bedre-mod-oliespild", "Læs artikel")</f>
        <v>Læs artikel</v>
      </c>
      <c r="K52" s="2" t="s">
        <v>31</v>
      </c>
      <c r="L52" s="2" t="s">
        <v>32</v>
      </c>
      <c r="M52" s="2" t="s">
        <v>33</v>
      </c>
      <c r="N52" s="2" t="s">
        <v>321</v>
      </c>
      <c r="O52" s="2" t="s">
        <v>242</v>
      </c>
      <c r="P52" s="2" t="s">
        <v>322</v>
      </c>
      <c r="Q52" s="2"/>
      <c r="R52" s="2">
        <v>18.0</v>
      </c>
      <c r="S52" s="2" t="s">
        <v>311</v>
      </c>
      <c r="T52" s="2"/>
      <c r="U52" s="2"/>
      <c r="V52" s="2"/>
    </row>
    <row r="53">
      <c r="A53" s="2" t="s">
        <v>323</v>
      </c>
      <c r="B53" s="2" t="s">
        <v>226</v>
      </c>
      <c r="C53" s="2" t="s">
        <v>227</v>
      </c>
      <c r="D53" s="2" t="s">
        <v>123</v>
      </c>
      <c r="E53" s="2"/>
      <c r="F53" s="2" t="s">
        <v>324</v>
      </c>
      <c r="G53" s="2" t="s">
        <v>325</v>
      </c>
      <c r="H53" s="2" t="s">
        <v>326</v>
      </c>
      <c r="I53" s="2" t="s">
        <v>234</v>
      </c>
      <c r="J53" s="3" t="str">
        <f>HYPERLINK("https://avisendanmark.dk/debat/det-vi-baerer-videre-i-livet", "Læs artikel")</f>
        <v>Læs artikel</v>
      </c>
      <c r="K53" s="2" t="s">
        <v>31</v>
      </c>
      <c r="L53" s="2" t="s">
        <v>32</v>
      </c>
      <c r="M53" s="2" t="s">
        <v>33</v>
      </c>
      <c r="N53" s="2" t="s">
        <v>327</v>
      </c>
      <c r="O53" s="2"/>
      <c r="P53" s="2" t="s">
        <v>243</v>
      </c>
      <c r="Q53" s="2"/>
      <c r="R53" s="2">
        <v>8.0</v>
      </c>
      <c r="S53" s="2" t="s">
        <v>145</v>
      </c>
      <c r="T53" s="2"/>
      <c r="U53" s="2"/>
      <c r="V53" s="2"/>
    </row>
    <row r="54">
      <c r="A54" s="2" t="s">
        <v>328</v>
      </c>
      <c r="B54" s="2" t="s">
        <v>226</v>
      </c>
      <c r="C54" s="2" t="s">
        <v>227</v>
      </c>
      <c r="D54" s="2" t="s">
        <v>123</v>
      </c>
      <c r="E54" s="2"/>
      <c r="F54" s="2" t="s">
        <v>329</v>
      </c>
      <c r="G54" s="2" t="s">
        <v>291</v>
      </c>
      <c r="H54" s="2" t="s">
        <v>330</v>
      </c>
      <c r="I54" s="2" t="s">
        <v>163</v>
      </c>
      <c r="J54" s="3" t="str">
        <f>HYPERLINK("https://avisendanmark.dk/debat/maersk-misbrug-af-de-globale-forsyningskaeder-kan-kun-loeses-i-samarbejde", "Læs artikel")</f>
        <v>Læs artikel</v>
      </c>
      <c r="K54" s="2" t="s">
        <v>31</v>
      </c>
      <c r="L54" s="2" t="s">
        <v>32</v>
      </c>
      <c r="M54" s="2" t="s">
        <v>33</v>
      </c>
      <c r="N54" s="2" t="s">
        <v>331</v>
      </c>
      <c r="O54" s="2" t="s">
        <v>165</v>
      </c>
      <c r="P54" s="2" t="s">
        <v>332</v>
      </c>
      <c r="Q54" s="2"/>
      <c r="R54" s="2">
        <v>10.0</v>
      </c>
      <c r="S54" s="2" t="s">
        <v>74</v>
      </c>
      <c r="T54" s="2"/>
      <c r="U54" s="2"/>
      <c r="V54" s="2"/>
    </row>
    <row r="55">
      <c r="A55" s="2" t="s">
        <v>333</v>
      </c>
      <c r="B55" s="2" t="s">
        <v>226</v>
      </c>
      <c r="C55" s="2" t="s">
        <v>227</v>
      </c>
      <c r="D55" s="2" t="s">
        <v>123</v>
      </c>
      <c r="E55" s="2"/>
      <c r="F55" s="2" t="s">
        <v>334</v>
      </c>
      <c r="G55" s="2" t="s">
        <v>335</v>
      </c>
      <c r="H55" s="2" t="s">
        <v>336</v>
      </c>
      <c r="I55" s="2" t="s">
        <v>163</v>
      </c>
      <c r="J55" s="3" t="str">
        <f>HYPERLINK("https://avisendanmark.dk/debat/3f-den-usynlige-draeber-har-delt-danmark-i-to", "Læs artikel")</f>
        <v>Læs artikel</v>
      </c>
      <c r="K55" s="2" t="s">
        <v>31</v>
      </c>
      <c r="L55" s="2" t="s">
        <v>32</v>
      </c>
      <c r="M55" s="2" t="s">
        <v>33</v>
      </c>
      <c r="N55" s="2" t="s">
        <v>337</v>
      </c>
      <c r="O55" s="2" t="s">
        <v>165</v>
      </c>
      <c r="P55" s="2"/>
      <c r="Q55" s="2"/>
      <c r="R55" s="2">
        <v>0.0</v>
      </c>
      <c r="S55" s="2"/>
      <c r="T55" s="2"/>
      <c r="U55" s="2"/>
      <c r="V55" s="2"/>
    </row>
    <row r="56">
      <c r="A56" s="2" t="s">
        <v>338</v>
      </c>
      <c r="B56" s="2" t="s">
        <v>226</v>
      </c>
      <c r="C56" s="2" t="s">
        <v>227</v>
      </c>
      <c r="D56" s="2" t="s">
        <v>123</v>
      </c>
      <c r="E56" s="2"/>
      <c r="F56" s="2" t="s">
        <v>339</v>
      </c>
      <c r="G56" s="2" t="s">
        <v>340</v>
      </c>
      <c r="H56" s="2" t="s">
        <v>341</v>
      </c>
      <c r="I56" s="2" t="s">
        <v>163</v>
      </c>
      <c r="J56" s="3" t="str">
        <f>HYPERLINK("https://avisendanmark.dk/debat/saadan-blev-pension-allemandseje-i-danmark", "Læs artikel")</f>
        <v>Læs artikel</v>
      </c>
      <c r="K56" s="2" t="s">
        <v>31</v>
      </c>
      <c r="L56" s="2" t="s">
        <v>32</v>
      </c>
      <c r="M56" s="2" t="s">
        <v>33</v>
      </c>
      <c r="N56" s="2" t="s">
        <v>342</v>
      </c>
      <c r="O56" s="2" t="s">
        <v>165</v>
      </c>
      <c r="P56" s="2" t="s">
        <v>243</v>
      </c>
      <c r="Q56" s="2"/>
      <c r="R56" s="2">
        <v>8.0</v>
      </c>
      <c r="S56" s="2" t="s">
        <v>145</v>
      </c>
      <c r="T56" s="2"/>
      <c r="U56" s="2"/>
      <c r="V56" s="2"/>
    </row>
    <row r="57">
      <c r="A57" s="2" t="s">
        <v>343</v>
      </c>
      <c r="B57" s="2" t="s">
        <v>226</v>
      </c>
      <c r="C57" s="2" t="s">
        <v>227</v>
      </c>
      <c r="D57" s="2" t="s">
        <v>123</v>
      </c>
      <c r="E57" s="2"/>
      <c r="F57" s="2" t="s">
        <v>344</v>
      </c>
      <c r="G57" s="2" t="s">
        <v>345</v>
      </c>
      <c r="H57" s="2" t="s">
        <v>346</v>
      </c>
      <c r="I57" s="2" t="s">
        <v>163</v>
      </c>
      <c r="J57" s="3" t="str">
        <f>HYPERLINK("https://avisendanmark.dk/debat/fagforbund-derfor-har-vi-indledt-konflikt-mod-davidsens-landbrug", "Læs artikel")</f>
        <v>Læs artikel</v>
      </c>
      <c r="K57" s="2" t="s">
        <v>31</v>
      </c>
      <c r="L57" s="2" t="s">
        <v>32</v>
      </c>
      <c r="M57" s="2" t="s">
        <v>33</v>
      </c>
      <c r="N57" s="2" t="s">
        <v>347</v>
      </c>
      <c r="O57" s="2" t="s">
        <v>165</v>
      </c>
      <c r="P57" s="2" t="s">
        <v>41</v>
      </c>
      <c r="Q57" s="2"/>
      <c r="R57" s="2">
        <v>8.0</v>
      </c>
      <c r="S57" s="2" t="s">
        <v>145</v>
      </c>
      <c r="T57" s="2" t="s">
        <v>89</v>
      </c>
      <c r="U57" s="2"/>
      <c r="V57" s="2"/>
    </row>
    <row r="58">
      <c r="A58" s="2" t="s">
        <v>348</v>
      </c>
      <c r="B58" s="2" t="s">
        <v>226</v>
      </c>
      <c r="C58" s="2" t="s">
        <v>227</v>
      </c>
      <c r="D58" s="2" t="s">
        <v>123</v>
      </c>
      <c r="E58" s="2"/>
      <c r="F58" s="2" t="s">
        <v>349</v>
      </c>
      <c r="G58" s="2" t="s">
        <v>350</v>
      </c>
      <c r="H58" s="2" t="s">
        <v>351</v>
      </c>
      <c r="I58" s="2" t="s">
        <v>240</v>
      </c>
      <c r="J58" s="3" t="str">
        <f>HYPERLINK("https://avisendanmark.dk/debat/kollektiv-trafik-i-international-topklasse", "Læs artikel")</f>
        <v>Læs artikel</v>
      </c>
      <c r="K58" s="2" t="s">
        <v>31</v>
      </c>
      <c r="L58" s="2" t="s">
        <v>32</v>
      </c>
      <c r="M58" s="2" t="s">
        <v>33</v>
      </c>
      <c r="N58" s="2" t="s">
        <v>352</v>
      </c>
      <c r="O58" s="2" t="s">
        <v>242</v>
      </c>
      <c r="P58" s="2" t="s">
        <v>353</v>
      </c>
      <c r="Q58" s="2"/>
      <c r="R58" s="2">
        <v>10.0</v>
      </c>
      <c r="S58" s="2" t="s">
        <v>74</v>
      </c>
      <c r="T58" s="2"/>
      <c r="U58" s="2"/>
      <c r="V58" s="2"/>
    </row>
    <row r="59">
      <c r="A59" s="2" t="s">
        <v>354</v>
      </c>
      <c r="B59" s="2" t="s">
        <v>226</v>
      </c>
      <c r="C59" s="2" t="s">
        <v>227</v>
      </c>
      <c r="D59" s="2" t="s">
        <v>123</v>
      </c>
      <c r="E59" s="2"/>
      <c r="F59" s="2" t="s">
        <v>355</v>
      </c>
      <c r="G59" s="2" t="s">
        <v>356</v>
      </c>
      <c r="H59" s="2" t="s">
        <v>357</v>
      </c>
      <c r="I59" s="2" t="s">
        <v>240</v>
      </c>
      <c r="J59" s="3" t="str">
        <f>HYPERLINK("https://avisendanmark.dk/debat/svaekkede-aeldre-og-syge-har-brug-for-den-rette-ernaering", "Læs artikel")</f>
        <v>Læs artikel</v>
      </c>
      <c r="K59" s="2" t="s">
        <v>31</v>
      </c>
      <c r="L59" s="2" t="s">
        <v>32</v>
      </c>
      <c r="M59" s="2" t="s">
        <v>33</v>
      </c>
      <c r="N59" s="2" t="s">
        <v>358</v>
      </c>
      <c r="O59" s="2" t="s">
        <v>242</v>
      </c>
      <c r="P59" s="2" t="s">
        <v>359</v>
      </c>
      <c r="Q59" s="2"/>
      <c r="R59" s="2">
        <v>56.0</v>
      </c>
      <c r="S59" s="2" t="s">
        <v>360</v>
      </c>
      <c r="T59" s="2"/>
      <c r="U59" s="2"/>
      <c r="V59" s="2"/>
    </row>
    <row r="60">
      <c r="A60" s="2" t="s">
        <v>361</v>
      </c>
      <c r="B60" s="2" t="s">
        <v>226</v>
      </c>
      <c r="C60" s="2" t="s">
        <v>227</v>
      </c>
      <c r="D60" s="2" t="s">
        <v>123</v>
      </c>
      <c r="E60" s="2"/>
      <c r="F60" s="2" t="s">
        <v>362</v>
      </c>
      <c r="G60" s="2" t="s">
        <v>363</v>
      </c>
      <c r="H60" s="2" t="s">
        <v>364</v>
      </c>
      <c r="I60" s="2" t="s">
        <v>240</v>
      </c>
      <c r="J60" s="3" t="str">
        <f>HYPERLINK("https://avisendanmark.dk/debat/er-man-yderliggaaende-lobbyist-blot-fordi-man-fortaeller-sandheden", "Læs artikel")</f>
        <v>Læs artikel</v>
      </c>
      <c r="K60" s="2" t="s">
        <v>31</v>
      </c>
      <c r="L60" s="2" t="s">
        <v>32</v>
      </c>
      <c r="M60" s="2" t="s">
        <v>33</v>
      </c>
      <c r="N60" s="2" t="s">
        <v>365</v>
      </c>
      <c r="O60" s="2" t="s">
        <v>242</v>
      </c>
      <c r="P60" s="2" t="s">
        <v>366</v>
      </c>
      <c r="Q60" s="2"/>
      <c r="R60" s="2">
        <v>18.0</v>
      </c>
      <c r="S60" s="2" t="s">
        <v>311</v>
      </c>
      <c r="T60" s="2" t="s">
        <v>89</v>
      </c>
      <c r="U60" s="2"/>
      <c r="V60" s="2"/>
    </row>
    <row r="61">
      <c r="A61" s="2" t="s">
        <v>367</v>
      </c>
      <c r="B61" s="2" t="s">
        <v>226</v>
      </c>
      <c r="C61" s="2" t="s">
        <v>227</v>
      </c>
      <c r="D61" s="2" t="s">
        <v>123</v>
      </c>
      <c r="E61" s="2"/>
      <c r="F61" s="2" t="s">
        <v>368</v>
      </c>
      <c r="G61" s="2"/>
      <c r="H61" s="2"/>
      <c r="I61" s="2" t="s">
        <v>125</v>
      </c>
      <c r="J61" s="3" t="str">
        <f>HYPERLINK("https://avisendanmark.dk/debat/hatten-af-for-groenlaenderne-de-viste-hvordan-man-skal-gaa-op-mod-trumps-undergravende-virksomhed", "Læs artikel")</f>
        <v>Læs artikel</v>
      </c>
      <c r="K61" s="2" t="s">
        <v>31</v>
      </c>
      <c r="L61" s="2" t="s">
        <v>32</v>
      </c>
      <c r="M61" s="2" t="s">
        <v>33</v>
      </c>
      <c r="N61" s="2" t="s">
        <v>369</v>
      </c>
      <c r="O61" s="2" t="s">
        <v>128</v>
      </c>
      <c r="P61" s="2" t="s">
        <v>41</v>
      </c>
      <c r="Q61" s="2"/>
      <c r="R61" s="2">
        <v>0.0</v>
      </c>
      <c r="S61" s="2"/>
      <c r="T61" s="2"/>
      <c r="U61" s="2"/>
      <c r="V61" s="2"/>
    </row>
    <row r="62">
      <c r="A62" s="2" t="s">
        <v>370</v>
      </c>
      <c r="B62" s="2" t="s">
        <v>226</v>
      </c>
      <c r="C62" s="2" t="s">
        <v>227</v>
      </c>
      <c r="D62" s="2" t="s">
        <v>123</v>
      </c>
      <c r="E62" s="2"/>
      <c r="F62" s="2" t="s">
        <v>371</v>
      </c>
      <c r="G62" s="2"/>
      <c r="H62" s="2" t="s">
        <v>372</v>
      </c>
      <c r="I62" s="2" t="s">
        <v>163</v>
      </c>
      <c r="J62" s="3" t="str">
        <f>HYPERLINK("https://avisendanmark.dk/debat/naar-foraeldre-barn-relationen-er-praeget-af-vold-skal-hjaelpen-vaere-tilgaengelig-for-begge", "Læs artikel")</f>
        <v>Læs artikel</v>
      </c>
      <c r="K62" s="2" t="s">
        <v>31</v>
      </c>
      <c r="L62" s="2" t="s">
        <v>32</v>
      </c>
      <c r="M62" s="2" t="s">
        <v>33</v>
      </c>
      <c r="N62" s="2" t="s">
        <v>373</v>
      </c>
      <c r="O62" s="2" t="s">
        <v>165</v>
      </c>
      <c r="P62" s="2" t="s">
        <v>118</v>
      </c>
      <c r="Q62" s="2"/>
      <c r="R62" s="2">
        <v>28.0</v>
      </c>
      <c r="S62" s="2" t="s">
        <v>374</v>
      </c>
      <c r="T62" s="2"/>
      <c r="U62" s="2"/>
      <c r="V62" s="2"/>
    </row>
    <row r="63">
      <c r="A63" s="2" t="s">
        <v>375</v>
      </c>
      <c r="B63" s="2" t="s">
        <v>226</v>
      </c>
      <c r="C63" s="2" t="s">
        <v>227</v>
      </c>
      <c r="D63" s="2" t="s">
        <v>123</v>
      </c>
      <c r="E63" s="2"/>
      <c r="F63" s="2" t="s">
        <v>376</v>
      </c>
      <c r="G63" s="2" t="s">
        <v>377</v>
      </c>
      <c r="H63" s="2" t="s">
        <v>378</v>
      </c>
      <c r="I63" s="2" t="s">
        <v>240</v>
      </c>
      <c r="J63" s="3" t="str">
        <f>HYPERLINK("https://avisendanmark.dk/debat/kontrol-uden-proportioner-svaekker-virksomhedernes-tillid-til-myndighederne", "Læs artikel")</f>
        <v>Læs artikel</v>
      </c>
      <c r="K63" s="2" t="s">
        <v>31</v>
      </c>
      <c r="L63" s="2" t="s">
        <v>32</v>
      </c>
      <c r="M63" s="2" t="s">
        <v>33</v>
      </c>
      <c r="N63" s="2" t="s">
        <v>379</v>
      </c>
      <c r="O63" s="2" t="s">
        <v>242</v>
      </c>
      <c r="P63" s="2" t="s">
        <v>380</v>
      </c>
      <c r="Q63" s="2"/>
      <c r="R63" s="2">
        <v>90.0</v>
      </c>
      <c r="S63" s="2" t="s">
        <v>381</v>
      </c>
      <c r="T63" s="2"/>
      <c r="U63" s="2"/>
      <c r="V63" s="2"/>
    </row>
    <row r="64">
      <c r="A64" s="2" t="s">
        <v>382</v>
      </c>
      <c r="B64" s="2" t="s">
        <v>226</v>
      </c>
      <c r="C64" s="2" t="s">
        <v>227</v>
      </c>
      <c r="D64" s="2" t="s">
        <v>123</v>
      </c>
      <c r="E64" s="2"/>
      <c r="F64" s="2" t="s">
        <v>383</v>
      </c>
      <c r="G64" s="2" t="s">
        <v>384</v>
      </c>
      <c r="H64" s="2" t="s">
        <v>385</v>
      </c>
      <c r="I64" s="2" t="s">
        <v>240</v>
      </c>
      <c r="J64" s="3" t="str">
        <f>HYPERLINK("https://avisendanmark.dk/debat/faar-du-en-reel-vaerdi-for-dine-skattekroner", "Læs artikel")</f>
        <v>Læs artikel</v>
      </c>
      <c r="K64" s="2" t="s">
        <v>31</v>
      </c>
      <c r="L64" s="2" t="s">
        <v>32</v>
      </c>
      <c r="M64" s="2" t="s">
        <v>33</v>
      </c>
      <c r="N64" s="2" t="s">
        <v>386</v>
      </c>
      <c r="O64" s="2" t="s">
        <v>242</v>
      </c>
      <c r="P64" s="2" t="s">
        <v>387</v>
      </c>
      <c r="Q64" s="2"/>
      <c r="R64" s="2">
        <v>28.0</v>
      </c>
      <c r="S64" s="2" t="s">
        <v>388</v>
      </c>
      <c r="T64" s="2"/>
      <c r="U64" s="2"/>
      <c r="V64" s="2"/>
    </row>
    <row r="65">
      <c r="A65" s="2" t="s">
        <v>389</v>
      </c>
      <c r="B65" s="2" t="s">
        <v>390</v>
      </c>
      <c r="C65" s="2" t="s">
        <v>391</v>
      </c>
      <c r="D65" s="2" t="s">
        <v>25</v>
      </c>
      <c r="E65" s="2" t="s">
        <v>392</v>
      </c>
      <c r="F65" s="2" t="s">
        <v>393</v>
      </c>
      <c r="G65" s="2" t="s">
        <v>394</v>
      </c>
      <c r="H65" s="2"/>
      <c r="I65" s="2" t="s">
        <v>395</v>
      </c>
      <c r="J65" s="3" t="str">
        <f>HYPERLINK("https://fyens.dk/debat/efter-nye-afsloeringer-derfor-er-sagen-om-gangbro-over-letbanen-saa-alvorlig", "Læs artikel")</f>
        <v>Læs artikel</v>
      </c>
      <c r="K65" s="2" t="s">
        <v>31</v>
      </c>
      <c r="L65" s="2" t="s">
        <v>32</v>
      </c>
      <c r="M65" s="2" t="s">
        <v>33</v>
      </c>
      <c r="N65" s="2" t="s">
        <v>396</v>
      </c>
      <c r="O65" s="2"/>
      <c r="P65" s="2"/>
      <c r="Q65" s="2"/>
      <c r="R65" s="2">
        <v>18.0</v>
      </c>
      <c r="S65" s="2" t="s">
        <v>112</v>
      </c>
      <c r="T65" s="2"/>
      <c r="U65" s="2"/>
      <c r="V65" s="2"/>
    </row>
    <row r="66">
      <c r="A66" s="2" t="s">
        <v>397</v>
      </c>
      <c r="B66" s="2" t="s">
        <v>398</v>
      </c>
      <c r="C66" s="2" t="s">
        <v>399</v>
      </c>
      <c r="D66" s="2" t="s">
        <v>25</v>
      </c>
      <c r="E66" s="2" t="s">
        <v>400</v>
      </c>
      <c r="F66" s="2" t="s">
        <v>401</v>
      </c>
      <c r="G66" s="2" t="s">
        <v>402</v>
      </c>
      <c r="H66" s="2" t="s">
        <v>403</v>
      </c>
      <c r="I66" s="2" t="s">
        <v>240</v>
      </c>
      <c r="J66" s="3" t="str">
        <f>HYPERLINK("https://stiften.dk/debat/dobbeltstuer-i-psykiatrien-jeg-moeder-patienter-som-er-bange-for-at-gaa-til-ro-om-aftenen", "Læs artikel")</f>
        <v>Læs artikel</v>
      </c>
      <c r="K66" s="2" t="s">
        <v>31</v>
      </c>
      <c r="L66" s="2" t="s">
        <v>32</v>
      </c>
      <c r="M66" s="2" t="s">
        <v>33</v>
      </c>
      <c r="N66" s="2" t="s">
        <v>404</v>
      </c>
      <c r="O66" s="2" t="s">
        <v>242</v>
      </c>
      <c r="P66" s="2" t="s">
        <v>118</v>
      </c>
      <c r="Q66" s="2"/>
      <c r="R66" s="2">
        <v>22.0</v>
      </c>
      <c r="S66" s="2" t="s">
        <v>119</v>
      </c>
      <c r="T66" s="2"/>
      <c r="U66" s="2"/>
      <c r="V66" s="2"/>
    </row>
    <row r="67">
      <c r="A67" s="2" t="s">
        <v>405</v>
      </c>
      <c r="B67" s="2" t="s">
        <v>406</v>
      </c>
      <c r="C67" s="2" t="s">
        <v>407</v>
      </c>
      <c r="D67" s="2" t="s">
        <v>25</v>
      </c>
      <c r="E67" s="2" t="s">
        <v>408</v>
      </c>
      <c r="F67" s="2" t="s">
        <v>409</v>
      </c>
      <c r="G67" s="2" t="s">
        <v>410</v>
      </c>
      <c r="H67" s="2" t="s">
        <v>411</v>
      </c>
      <c r="I67" s="2" t="s">
        <v>30</v>
      </c>
      <c r="J67" s="3" t="str">
        <f>HYPERLINK("https://nordjyske.dk/nyheder/nordjylland/aab-fan-det-hele-staar-og-falder-med-et-tysk-exit/6056534", "Læs artikel")</f>
        <v>Læs artikel</v>
      </c>
      <c r="K67" s="2" t="s">
        <v>31</v>
      </c>
      <c r="L67" s="2" t="s">
        <v>32</v>
      </c>
      <c r="M67" s="2" t="s">
        <v>33</v>
      </c>
      <c r="N67" s="2" t="s">
        <v>412</v>
      </c>
      <c r="O67" s="2" t="s">
        <v>35</v>
      </c>
      <c r="P67" s="2"/>
      <c r="Q67" s="2"/>
      <c r="R67" s="2">
        <v>0.0</v>
      </c>
      <c r="S67" s="2"/>
      <c r="T67" s="2"/>
      <c r="U67" s="2"/>
      <c r="V67" s="2"/>
    </row>
    <row r="68">
      <c r="A68" s="2" t="s">
        <v>413</v>
      </c>
      <c r="B68" s="2" t="s">
        <v>414</v>
      </c>
      <c r="C68" s="2" t="s">
        <v>415</v>
      </c>
      <c r="D68" s="2" t="s">
        <v>123</v>
      </c>
      <c r="E68" s="2"/>
      <c r="F68" s="2" t="s">
        <v>416</v>
      </c>
      <c r="G68" s="2" t="s">
        <v>417</v>
      </c>
      <c r="H68" s="2"/>
      <c r="I68" s="2" t="s">
        <v>125</v>
      </c>
      <c r="J68" s="3" t="str">
        <f>HYPERLINK("https://www.berlingske.dk/kommentatorer/farlige-kraefter-slippes-loes-naar-ingen-sidder-paa-magten--men-i-de-her-uger-kan-danskerne-laere-noget-af-faeringerne", "Læs artikel")</f>
        <v>Læs artikel</v>
      </c>
      <c r="K68" s="2" t="s">
        <v>31</v>
      </c>
      <c r="L68" s="2" t="s">
        <v>32</v>
      </c>
      <c r="M68" s="2" t="s">
        <v>33</v>
      </c>
      <c r="N68" s="2" t="s">
        <v>418</v>
      </c>
      <c r="O68" s="2" t="s">
        <v>128</v>
      </c>
      <c r="P68" s="2"/>
      <c r="Q68" s="2"/>
      <c r="R68" s="2">
        <v>0.0</v>
      </c>
      <c r="S68" s="2"/>
      <c r="T68" s="2"/>
      <c r="U68" s="2"/>
      <c r="V68" s="2"/>
    </row>
    <row r="69">
      <c r="A69" s="2" t="s">
        <v>419</v>
      </c>
      <c r="B69" s="2" t="s">
        <v>420</v>
      </c>
      <c r="C69" s="2" t="s">
        <v>227</v>
      </c>
      <c r="D69" s="2" t="s">
        <v>123</v>
      </c>
      <c r="E69" s="2"/>
      <c r="F69" s="2" t="s">
        <v>421</v>
      </c>
      <c r="G69" s="2" t="s">
        <v>422</v>
      </c>
      <c r="H69" s="2" t="s">
        <v>423</v>
      </c>
      <c r="I69" s="2" t="s">
        <v>163</v>
      </c>
      <c r="J69" s="3" t="str">
        <f>HYPERLINK("https://avisendanmark.dk/debat/karsten-hoenge-naar-faellesskabet-bliver-for-billigt-bliver-regningen-dyr", "Læs artikel")</f>
        <v>Læs artikel</v>
      </c>
      <c r="K69" s="2" t="s">
        <v>31</v>
      </c>
      <c r="L69" s="2" t="s">
        <v>32</v>
      </c>
      <c r="M69" s="2" t="s">
        <v>33</v>
      </c>
      <c r="N69" s="2" t="s">
        <v>424</v>
      </c>
      <c r="O69" s="2" t="s">
        <v>165</v>
      </c>
      <c r="P69" s="2" t="s">
        <v>133</v>
      </c>
      <c r="Q69" s="2"/>
      <c r="R69" s="2">
        <v>10.0</v>
      </c>
      <c r="S69" s="2" t="s">
        <v>134</v>
      </c>
      <c r="T69" s="2"/>
      <c r="U69" s="2"/>
      <c r="V69" s="2"/>
    </row>
    <row r="70">
      <c r="A70" s="2" t="s">
        <v>425</v>
      </c>
      <c r="B70" s="2" t="s">
        <v>426</v>
      </c>
      <c r="C70" s="2" t="s">
        <v>399</v>
      </c>
      <c r="D70" s="2" t="s">
        <v>25</v>
      </c>
      <c r="E70" s="2" t="s">
        <v>400</v>
      </c>
      <c r="F70" s="2" t="s">
        <v>427</v>
      </c>
      <c r="G70" s="2" t="s">
        <v>428</v>
      </c>
      <c r="H70" s="2" t="s">
        <v>429</v>
      </c>
      <c r="I70" s="2" t="s">
        <v>240</v>
      </c>
      <c r="J70" s="3" t="str">
        <f>HYPERLINK("https://stiften.dk/debat/naar-unge-ikke-kan-sove-hjaelper-det-ikke-kun-at-sige-laeg-telefonen-vaek", "Læs artikel")</f>
        <v>Læs artikel</v>
      </c>
      <c r="K70" s="2" t="s">
        <v>31</v>
      </c>
      <c r="L70" s="2" t="s">
        <v>32</v>
      </c>
      <c r="M70" s="2" t="s">
        <v>33</v>
      </c>
      <c r="N70" s="2" t="s">
        <v>430</v>
      </c>
      <c r="O70" s="2" t="s">
        <v>242</v>
      </c>
      <c r="P70" s="2"/>
      <c r="Q70" s="2"/>
      <c r="R70" s="2">
        <v>0.0</v>
      </c>
      <c r="S70" s="2"/>
      <c r="T70" s="2"/>
      <c r="U70" s="2"/>
      <c r="V70" s="2"/>
    </row>
    <row r="71">
      <c r="A71" s="2" t="s">
        <v>431</v>
      </c>
      <c r="B71" s="2" t="s">
        <v>432</v>
      </c>
      <c r="C71" s="2" t="s">
        <v>415</v>
      </c>
      <c r="D71" s="2" t="s">
        <v>123</v>
      </c>
      <c r="E71" s="2"/>
      <c r="F71" s="2" t="s">
        <v>433</v>
      </c>
      <c r="G71" s="2" t="s">
        <v>434</v>
      </c>
      <c r="H71" s="2"/>
      <c r="I71" s="2" t="s">
        <v>30</v>
      </c>
      <c r="J71" s="3" t="str">
        <f>HYPERLINK("https://www.berlingske.dk/synspunkter/intersektionalitet-er-ikke-en-trosbekendelse", "Læs artikel")</f>
        <v>Læs artikel</v>
      </c>
      <c r="K71" s="2" t="s">
        <v>31</v>
      </c>
      <c r="L71" s="2" t="s">
        <v>32</v>
      </c>
      <c r="M71" s="2" t="s">
        <v>33</v>
      </c>
      <c r="N71" s="2" t="s">
        <v>435</v>
      </c>
      <c r="O71" s="2" t="s">
        <v>35</v>
      </c>
      <c r="P71" s="2" t="s">
        <v>436</v>
      </c>
      <c r="Q71" s="2"/>
      <c r="R71" s="2">
        <v>68.0</v>
      </c>
      <c r="S71" s="2" t="s">
        <v>437</v>
      </c>
      <c r="T71" s="2"/>
      <c r="U71" s="2"/>
      <c r="V71" s="2"/>
    </row>
    <row r="72">
      <c r="A72" s="2" t="s">
        <v>438</v>
      </c>
      <c r="B72" s="2" t="s">
        <v>439</v>
      </c>
      <c r="C72" s="2" t="s">
        <v>391</v>
      </c>
      <c r="D72" s="2" t="s">
        <v>25</v>
      </c>
      <c r="E72" s="2" t="s">
        <v>392</v>
      </c>
      <c r="F72" s="2" t="s">
        <v>440</v>
      </c>
      <c r="G72" s="2" t="s">
        <v>441</v>
      </c>
      <c r="H72" s="2"/>
      <c r="I72" s="2" t="s">
        <v>395</v>
      </c>
      <c r="J72" s="3" t="str">
        <f>HYPERLINK("https://fyens.dk/debat/fynsk-gigant-har-taget-en-ret-vild-beslutning-om-affald-derfor-er-det-en-fremragende-ide", "Læs artikel")</f>
        <v>Læs artikel</v>
      </c>
      <c r="K72" s="2" t="s">
        <v>31</v>
      </c>
      <c r="L72" s="2" t="s">
        <v>32</v>
      </c>
      <c r="M72" s="2" t="s">
        <v>33</v>
      </c>
      <c r="N72" s="2" t="s">
        <v>442</v>
      </c>
      <c r="O72" s="2"/>
      <c r="P72" s="2" t="s">
        <v>443</v>
      </c>
      <c r="Q72" s="2"/>
      <c r="R72" s="2">
        <v>22.0</v>
      </c>
      <c r="S72" s="2" t="s">
        <v>119</v>
      </c>
      <c r="T72" s="2"/>
      <c r="U72" s="2"/>
      <c r="V72" s="2"/>
    </row>
    <row r="73">
      <c r="A73" s="2" t="s">
        <v>444</v>
      </c>
      <c r="B73" s="2" t="s">
        <v>445</v>
      </c>
      <c r="C73" s="2" t="s">
        <v>399</v>
      </c>
      <c r="D73" s="2" t="s">
        <v>25</v>
      </c>
      <c r="E73" s="2" t="s">
        <v>400</v>
      </c>
      <c r="F73" s="2" t="s">
        <v>446</v>
      </c>
      <c r="G73" s="2" t="s">
        <v>447</v>
      </c>
      <c r="H73" s="2"/>
      <c r="I73" s="2" t="s">
        <v>395</v>
      </c>
      <c r="J73" s="3" t="str">
        <f>HYPERLINK("https://stiften.dk/debat/stakkels-fritz-hverken-han-eller-nationalbanken-kunne-regne-den-ud", "Læs artikel")</f>
        <v>Læs artikel</v>
      </c>
      <c r="K73" s="2" t="s">
        <v>31</v>
      </c>
      <c r="L73" s="2" t="s">
        <v>32</v>
      </c>
      <c r="M73" s="2" t="s">
        <v>33</v>
      </c>
      <c r="N73" s="2" t="s">
        <v>448</v>
      </c>
      <c r="O73" s="2"/>
      <c r="P73" s="2" t="s">
        <v>41</v>
      </c>
      <c r="Q73" s="2"/>
      <c r="R73" s="2">
        <v>12.0</v>
      </c>
      <c r="S73" s="2" t="s">
        <v>42</v>
      </c>
      <c r="T73" s="2"/>
      <c r="U73" s="2"/>
      <c r="V73" s="2"/>
    </row>
    <row r="74">
      <c r="A74" s="2" t="s">
        <v>449</v>
      </c>
      <c r="B74" s="2" t="s">
        <v>450</v>
      </c>
      <c r="C74" s="2" t="s">
        <v>407</v>
      </c>
      <c r="D74" s="2" t="s">
        <v>25</v>
      </c>
      <c r="E74" s="2" t="s">
        <v>408</v>
      </c>
      <c r="F74" s="2" t="s">
        <v>451</v>
      </c>
      <c r="G74" s="2" t="s">
        <v>452</v>
      </c>
      <c r="H74" s="2" t="s">
        <v>453</v>
      </c>
      <c r="I74" s="2" t="s">
        <v>30</v>
      </c>
      <c r="J74" s="3" t="str">
        <f>HYPERLINK("https://nordjyske.dk/nyheder/nordjylland/aalborgs-kamp-for-rent-drikkevand-fortsaetter/6054624", "Læs artikel")</f>
        <v>Læs artikel</v>
      </c>
      <c r="K74" s="2" t="s">
        <v>31</v>
      </c>
      <c r="L74" s="2" t="s">
        <v>32</v>
      </c>
      <c r="M74" s="2" t="s">
        <v>33</v>
      </c>
      <c r="N74" s="2" t="s">
        <v>454</v>
      </c>
      <c r="O74" s="2" t="s">
        <v>35</v>
      </c>
      <c r="P74" s="2" t="s">
        <v>41</v>
      </c>
      <c r="Q74" s="2"/>
      <c r="R74" s="2">
        <v>30.0</v>
      </c>
      <c r="S74" s="2" t="s">
        <v>455</v>
      </c>
      <c r="T74" s="2" t="s">
        <v>89</v>
      </c>
      <c r="U74" s="2"/>
      <c r="V74" s="2"/>
    </row>
    <row r="75">
      <c r="A75" s="2" t="s">
        <v>456</v>
      </c>
      <c r="B75" s="2" t="s">
        <v>457</v>
      </c>
      <c r="C75" s="2" t="s">
        <v>415</v>
      </c>
      <c r="D75" s="2" t="s">
        <v>123</v>
      </c>
      <c r="E75" s="2"/>
      <c r="F75" s="2" t="s">
        <v>458</v>
      </c>
      <c r="G75" s="2" t="s">
        <v>459</v>
      </c>
      <c r="H75" s="2"/>
      <c r="I75" s="2" t="s">
        <v>125</v>
      </c>
      <c r="J75" s="3" t="str">
        <f>HYPERLINK("https://www.berlingske.dk/kommentatorer/frederiksberg-politiker-er-traet-af-luksusbiler-der-optager-p-pladser-i-byen-hvor-er-respekten", "Læs artikel")</f>
        <v>Læs artikel</v>
      </c>
      <c r="K75" s="2" t="s">
        <v>31</v>
      </c>
      <c r="L75" s="2" t="s">
        <v>32</v>
      </c>
      <c r="M75" s="2" t="s">
        <v>33</v>
      </c>
      <c r="N75" s="2" t="s">
        <v>460</v>
      </c>
      <c r="O75" s="2" t="s">
        <v>128</v>
      </c>
      <c r="P75" s="2" t="s">
        <v>104</v>
      </c>
      <c r="Q75" s="2"/>
      <c r="R75" s="2">
        <v>42.0</v>
      </c>
      <c r="S75" s="2" t="s">
        <v>151</v>
      </c>
      <c r="T75" s="2"/>
      <c r="U75" s="2"/>
      <c r="V75" s="2"/>
    </row>
    <row r="76">
      <c r="A76" s="2" t="s">
        <v>461</v>
      </c>
      <c r="B76" s="2" t="s">
        <v>462</v>
      </c>
      <c r="C76" s="2" t="s">
        <v>122</v>
      </c>
      <c r="D76" s="2" t="s">
        <v>123</v>
      </c>
      <c r="E76" s="2"/>
      <c r="F76" s="2" t="s">
        <v>463</v>
      </c>
      <c r="G76" s="2"/>
      <c r="H76" s="2"/>
      <c r="I76" s="2" t="s">
        <v>125</v>
      </c>
      <c r="J76" s="3" t="str">
        <f>HYPERLINK("https://www.altinget.dk/artikel/connie-hedegaard-hoejrefloejens-uenigheder-om-blandt-andet-klima-afsloerer-at-der-reelt-ikke-findes-en-blaa-blok", "Læs artikel")</f>
        <v>Læs artikel</v>
      </c>
      <c r="K76" s="2" t="s">
        <v>31</v>
      </c>
      <c r="L76" s="2" t="s">
        <v>32</v>
      </c>
      <c r="M76" s="2" t="s">
        <v>33</v>
      </c>
      <c r="N76" s="2" t="s">
        <v>464</v>
      </c>
      <c r="O76" s="2" t="s">
        <v>128</v>
      </c>
      <c r="P76" s="2" t="s">
        <v>41</v>
      </c>
      <c r="Q76" s="2"/>
      <c r="R76" s="2">
        <v>0.0</v>
      </c>
      <c r="S76" s="2"/>
      <c r="T76" s="2"/>
      <c r="U76" s="2"/>
      <c r="V76" s="2"/>
    </row>
    <row r="77">
      <c r="A77" s="2" t="s">
        <v>465</v>
      </c>
      <c r="B77" s="2" t="s">
        <v>466</v>
      </c>
      <c r="C77" s="2" t="s">
        <v>407</v>
      </c>
      <c r="D77" s="2" t="s">
        <v>25</v>
      </c>
      <c r="E77" s="2" t="s">
        <v>408</v>
      </c>
      <c r="F77" s="2" t="s">
        <v>467</v>
      </c>
      <c r="G77" s="2" t="s">
        <v>468</v>
      </c>
      <c r="H77" s="2" t="s">
        <v>469</v>
      </c>
      <c r="I77" s="2" t="s">
        <v>30</v>
      </c>
      <c r="J77" s="3" t="str">
        <f>HYPERLINK("https://nordjyske.dk/nyheder/nordjylland/klumme-forfatter-mads-nygaard-begyndte-sin-slankekur-med-kaffe-og-chokolade/6053682", "Læs artikel")</f>
        <v>Læs artikel</v>
      </c>
      <c r="K77" s="2" t="s">
        <v>31</v>
      </c>
      <c r="L77" s="2" t="s">
        <v>32</v>
      </c>
      <c r="M77" s="2" t="s">
        <v>33</v>
      </c>
      <c r="N77" s="2" t="s">
        <v>470</v>
      </c>
      <c r="O77" s="2" t="s">
        <v>35</v>
      </c>
      <c r="P77" s="2" t="s">
        <v>249</v>
      </c>
      <c r="Q77" s="2"/>
      <c r="R77" s="2">
        <v>8.0</v>
      </c>
      <c r="S77" s="2" t="s">
        <v>145</v>
      </c>
      <c r="T77" s="2"/>
      <c r="U77" s="2"/>
      <c r="V77" s="2"/>
    </row>
    <row r="78">
      <c r="A78" s="2" t="s">
        <v>471</v>
      </c>
      <c r="B78" s="2" t="s">
        <v>472</v>
      </c>
      <c r="C78" s="2" t="s">
        <v>415</v>
      </c>
      <c r="D78" s="2" t="s">
        <v>123</v>
      </c>
      <c r="E78" s="2"/>
      <c r="F78" s="2" t="s">
        <v>473</v>
      </c>
      <c r="G78" s="2"/>
      <c r="H78" s="2"/>
      <c r="I78" s="2" t="s">
        <v>30</v>
      </c>
      <c r="J78" s="3" t="str">
        <f>HYPERLINK("https://www.berlingske.dk/laesere/den-nuvaerende-politiske-situation-giver-naering-til-politikerleden", "Læs artikel")</f>
        <v>Læs artikel</v>
      </c>
      <c r="K78" s="2" t="s">
        <v>31</v>
      </c>
      <c r="L78" s="2" t="s">
        <v>32</v>
      </c>
      <c r="M78" s="2" t="s">
        <v>33</v>
      </c>
      <c r="N78" s="2" t="s">
        <v>474</v>
      </c>
      <c r="O78" s="2" t="s">
        <v>35</v>
      </c>
      <c r="P78" s="2" t="s">
        <v>104</v>
      </c>
      <c r="Q78" s="2"/>
      <c r="R78" s="2">
        <v>42.0</v>
      </c>
      <c r="S78" s="2" t="s">
        <v>151</v>
      </c>
      <c r="T78" s="2"/>
      <c r="U78" s="2"/>
      <c r="V78" s="2"/>
    </row>
    <row r="79">
      <c r="A79" s="2" t="s">
        <v>475</v>
      </c>
      <c r="B79" s="2" t="s">
        <v>476</v>
      </c>
      <c r="C79" s="2" t="s">
        <v>477</v>
      </c>
      <c r="D79" s="2" t="s">
        <v>123</v>
      </c>
      <c r="E79" s="2"/>
      <c r="F79" s="2" t="s">
        <v>478</v>
      </c>
      <c r="G79" s="2" t="s">
        <v>479</v>
      </c>
      <c r="H79" s="2" t="s">
        <v>480</v>
      </c>
      <c r="I79" s="2" t="s">
        <v>481</v>
      </c>
      <c r="J79" s="3" t="str">
        <f>HYPERLINK("https://www.information.dk/debat/2026/05/georg-metz-ambassador-in-diguise", "Læs artikel")</f>
        <v>Læs artikel</v>
      </c>
      <c r="K79" s="2" t="s">
        <v>31</v>
      </c>
      <c r="L79" s="2" t="s">
        <v>32</v>
      </c>
      <c r="M79" s="2" t="s">
        <v>33</v>
      </c>
      <c r="N79" s="2" t="s">
        <v>482</v>
      </c>
      <c r="O79" s="2" t="s">
        <v>35</v>
      </c>
      <c r="P79" s="2" t="s">
        <v>249</v>
      </c>
      <c r="Q79" s="2"/>
      <c r="R79" s="2">
        <v>0.0</v>
      </c>
      <c r="S79" s="2"/>
      <c r="T79" s="2"/>
      <c r="U79" s="2"/>
      <c r="V79" s="2"/>
    </row>
    <row r="80">
      <c r="A80" s="2" t="s">
        <v>483</v>
      </c>
      <c r="B80" s="2" t="s">
        <v>484</v>
      </c>
      <c r="C80" s="2" t="s">
        <v>477</v>
      </c>
      <c r="D80" s="2" t="s">
        <v>123</v>
      </c>
      <c r="E80" s="2"/>
      <c r="F80" s="2" t="s">
        <v>485</v>
      </c>
      <c r="G80" s="2" t="s">
        <v>486</v>
      </c>
      <c r="H80" s="2" t="s">
        <v>487</v>
      </c>
      <c r="I80" s="2" t="s">
        <v>481</v>
      </c>
      <c r="J80" s="3" t="str">
        <f>HYPERLINK("https://www.information.dk/debat/2026/05/titusinder-solopreppere-udgoer-modstandsdygtigt-samfund", "Læs artikel")</f>
        <v>Læs artikel</v>
      </c>
      <c r="K80" s="2" t="s">
        <v>31</v>
      </c>
      <c r="L80" s="2" t="s">
        <v>32</v>
      </c>
      <c r="M80" s="2" t="s">
        <v>33</v>
      </c>
      <c r="N80" s="2" t="s">
        <v>488</v>
      </c>
      <c r="O80" s="2" t="s">
        <v>35</v>
      </c>
      <c r="P80" s="2" t="s">
        <v>489</v>
      </c>
      <c r="Q80" s="2"/>
      <c r="R80" s="2">
        <v>46.0</v>
      </c>
      <c r="S80" s="2" t="s">
        <v>490</v>
      </c>
      <c r="T80" s="2"/>
      <c r="U80" s="2"/>
      <c r="V80" s="2"/>
    </row>
    <row r="81">
      <c r="A81" s="2" t="s">
        <v>491</v>
      </c>
      <c r="B81" s="2" t="s">
        <v>492</v>
      </c>
      <c r="C81" s="2" t="s">
        <v>477</v>
      </c>
      <c r="D81" s="2" t="s">
        <v>123</v>
      </c>
      <c r="E81" s="2"/>
      <c r="F81" s="2" t="s">
        <v>493</v>
      </c>
      <c r="G81" s="2" t="s">
        <v>494</v>
      </c>
      <c r="H81" s="2" t="s">
        <v>495</v>
      </c>
      <c r="I81" s="2" t="s">
        <v>481</v>
      </c>
      <c r="J81" s="3" t="str">
        <f>HYPERLINK("https://www.information.dk/debat/2026/05/venstrefloejens-plads-idedebatten-nok-smule-kedelig-taber", "Læs artikel")</f>
        <v>Læs artikel</v>
      </c>
      <c r="K81" s="2" t="s">
        <v>31</v>
      </c>
      <c r="L81" s="2" t="s">
        <v>32</v>
      </c>
      <c r="M81" s="2" t="s">
        <v>33</v>
      </c>
      <c r="N81" s="2" t="s">
        <v>496</v>
      </c>
      <c r="O81" s="2" t="s">
        <v>35</v>
      </c>
      <c r="P81" s="2" t="s">
        <v>133</v>
      </c>
      <c r="Q81" s="2" t="s">
        <v>497</v>
      </c>
      <c r="R81" s="2">
        <v>46.0</v>
      </c>
      <c r="S81" s="2" t="s">
        <v>498</v>
      </c>
      <c r="T81" s="2"/>
      <c r="U81" s="2"/>
      <c r="V81" s="2"/>
    </row>
    <row r="82">
      <c r="A82" s="2" t="s">
        <v>499</v>
      </c>
      <c r="B82" s="2" t="s">
        <v>500</v>
      </c>
      <c r="C82" s="2" t="s">
        <v>477</v>
      </c>
      <c r="D82" s="2" t="s">
        <v>123</v>
      </c>
      <c r="E82" s="2"/>
      <c r="F82" s="2" t="s">
        <v>501</v>
      </c>
      <c r="G82" s="2" t="s">
        <v>502</v>
      </c>
      <c r="H82" s="2" t="s">
        <v>503</v>
      </c>
      <c r="I82" s="2" t="s">
        <v>481</v>
      </c>
      <c r="J82" s="3" t="str">
        <f>HYPERLINK("https://www.information.dk/debat/2026/05/kaere-kommende-regering-glem-stadig-venter-paa-bedre-psykiatri", "Læs artikel")</f>
        <v>Læs artikel</v>
      </c>
      <c r="K82" s="2" t="s">
        <v>31</v>
      </c>
      <c r="L82" s="2" t="s">
        <v>32</v>
      </c>
      <c r="M82" s="2" t="s">
        <v>33</v>
      </c>
      <c r="N82" s="2" t="s">
        <v>504</v>
      </c>
      <c r="O82" s="2" t="s">
        <v>35</v>
      </c>
      <c r="P82" s="2" t="s">
        <v>287</v>
      </c>
      <c r="Q82" s="2"/>
      <c r="R82" s="2">
        <v>30.0</v>
      </c>
      <c r="S82" s="2" t="s">
        <v>97</v>
      </c>
      <c r="T82" s="2"/>
      <c r="U82" s="2"/>
      <c r="V82" s="2"/>
    </row>
    <row r="83">
      <c r="A83" s="2" t="s">
        <v>505</v>
      </c>
      <c r="B83" s="2" t="s">
        <v>506</v>
      </c>
      <c r="C83" s="2" t="s">
        <v>477</v>
      </c>
      <c r="D83" s="2" t="s">
        <v>123</v>
      </c>
      <c r="E83" s="2"/>
      <c r="F83" s="2" t="s">
        <v>507</v>
      </c>
      <c r="G83" s="2" t="s">
        <v>508</v>
      </c>
      <c r="H83" s="2" t="s">
        <v>509</v>
      </c>
      <c r="I83" s="2" t="s">
        <v>481</v>
      </c>
      <c r="J83" s="3" t="str">
        <f>HYPERLINK("https://www.information.dk/debat/2026/05/ideologisk-begivenhed-usa-israel-ahmedinejad-leder-iran", "Læs artikel")</f>
        <v>Læs artikel</v>
      </c>
      <c r="K83" s="2" t="s">
        <v>31</v>
      </c>
      <c r="L83" s="2" t="s">
        <v>32</v>
      </c>
      <c r="M83" s="2" t="s">
        <v>33</v>
      </c>
      <c r="N83" s="2" t="s">
        <v>510</v>
      </c>
      <c r="O83" s="2" t="s">
        <v>35</v>
      </c>
      <c r="P83" s="2" t="s">
        <v>249</v>
      </c>
      <c r="Q83" s="2"/>
      <c r="R83" s="2">
        <v>0.0</v>
      </c>
      <c r="S83" s="2"/>
      <c r="T83" s="2"/>
      <c r="U83" s="2"/>
      <c r="V83" s="2"/>
    </row>
    <row r="84">
      <c r="A84" s="2" t="s">
        <v>511</v>
      </c>
      <c r="B84" s="2" t="s">
        <v>512</v>
      </c>
      <c r="C84" s="2" t="s">
        <v>399</v>
      </c>
      <c r="D84" s="2" t="s">
        <v>25</v>
      </c>
      <c r="E84" s="2" t="s">
        <v>400</v>
      </c>
      <c r="F84" s="2" t="s">
        <v>513</v>
      </c>
      <c r="G84" s="2" t="s">
        <v>514</v>
      </c>
      <c r="H84" s="2" t="s">
        <v>515</v>
      </c>
      <c r="I84" s="2" t="s">
        <v>240</v>
      </c>
      <c r="J84" s="3" t="str">
        <f>HYPERLINK("https://stiften.dk/debat/jeg-koebte-for-250-kroner-slik-og-skulle-staa-til-regnskab", "Læs artikel")</f>
        <v>Læs artikel</v>
      </c>
      <c r="K84" s="2" t="s">
        <v>31</v>
      </c>
      <c r="L84" s="2" t="s">
        <v>32</v>
      </c>
      <c r="M84" s="2" t="s">
        <v>33</v>
      </c>
      <c r="N84" s="2" t="s">
        <v>516</v>
      </c>
      <c r="O84" s="2" t="s">
        <v>242</v>
      </c>
      <c r="P84" s="2" t="s">
        <v>517</v>
      </c>
      <c r="Q84" s="2"/>
      <c r="R84" s="2">
        <v>26.0</v>
      </c>
      <c r="S84" s="2" t="s">
        <v>518</v>
      </c>
      <c r="T84" s="2"/>
      <c r="U84" s="2"/>
      <c r="V84" s="2"/>
    </row>
    <row r="85">
      <c r="A85" s="2" t="s">
        <v>519</v>
      </c>
      <c r="B85" s="2" t="s">
        <v>520</v>
      </c>
      <c r="C85" s="2" t="s">
        <v>415</v>
      </c>
      <c r="D85" s="2" t="s">
        <v>123</v>
      </c>
      <c r="E85" s="2"/>
      <c r="F85" s="2" t="s">
        <v>521</v>
      </c>
      <c r="G85" s="2" t="s">
        <v>522</v>
      </c>
      <c r="H85" s="2"/>
      <c r="I85" s="2" t="s">
        <v>125</v>
      </c>
      <c r="J85" s="3" t="str">
        <f>HYPERLINK("https://www.berlingske.dk/kommentatorer/trump-administrationen-er-gennemsyret-af-oekonomisk-snusk", "Læs artikel")</f>
        <v>Læs artikel</v>
      </c>
      <c r="K85" s="2" t="s">
        <v>31</v>
      </c>
      <c r="L85" s="2" t="s">
        <v>32</v>
      </c>
      <c r="M85" s="2" t="s">
        <v>33</v>
      </c>
      <c r="N85" s="2" t="s">
        <v>523</v>
      </c>
      <c r="O85" s="2" t="s">
        <v>128</v>
      </c>
      <c r="P85" s="2" t="s">
        <v>524</v>
      </c>
      <c r="Q85" s="2"/>
      <c r="R85" s="2">
        <v>30.0</v>
      </c>
      <c r="S85" s="2" t="s">
        <v>97</v>
      </c>
      <c r="T85" s="2"/>
      <c r="U85" s="2"/>
      <c r="V85" s="2"/>
    </row>
    <row r="86">
      <c r="A86" s="2" t="s">
        <v>525</v>
      </c>
      <c r="B86" s="2" t="s">
        <v>526</v>
      </c>
      <c r="C86" s="2" t="s">
        <v>527</v>
      </c>
      <c r="D86" s="2" t="s">
        <v>123</v>
      </c>
      <c r="E86" s="2"/>
      <c r="F86" s="2" t="s">
        <v>528</v>
      </c>
      <c r="G86" s="2" t="s">
        <v>529</v>
      </c>
      <c r="H86" s="2" t="s">
        <v>530</v>
      </c>
      <c r="I86" s="2" t="s">
        <v>30</v>
      </c>
      <c r="J86" s="3" t="str">
        <f>HYPERLINK("https://www.kristeligt-dagblad.dk/debat/geeti-amiri-hvad-siger-det-egentlig-ikke-om-de-blaas-desperation-efter-magten-de-ville-goere", "Læs artikel")</f>
        <v>Læs artikel</v>
      </c>
      <c r="K86" s="2" t="s">
        <v>31</v>
      </c>
      <c r="L86" s="2" t="s">
        <v>32</v>
      </c>
      <c r="M86" s="2" t="s">
        <v>33</v>
      </c>
      <c r="N86" s="2" t="s">
        <v>531</v>
      </c>
      <c r="O86" s="2" t="s">
        <v>35</v>
      </c>
      <c r="P86" s="2" t="s">
        <v>299</v>
      </c>
      <c r="Q86" s="2" t="s">
        <v>187</v>
      </c>
      <c r="R86" s="2">
        <v>58.0</v>
      </c>
      <c r="S86" s="2" t="s">
        <v>532</v>
      </c>
      <c r="T86" s="2" t="s">
        <v>215</v>
      </c>
      <c r="U86" s="2"/>
      <c r="V86" s="2"/>
    </row>
    <row r="87">
      <c r="A87" s="2" t="s">
        <v>533</v>
      </c>
      <c r="B87" s="2" t="s">
        <v>534</v>
      </c>
      <c r="C87" s="2" t="s">
        <v>527</v>
      </c>
      <c r="D87" s="2" t="s">
        <v>123</v>
      </c>
      <c r="E87" s="2"/>
      <c r="F87" s="2" t="s">
        <v>535</v>
      </c>
      <c r="G87" s="2" t="s">
        <v>536</v>
      </c>
      <c r="H87" s="2" t="s">
        <v>537</v>
      </c>
      <c r="I87" s="2" t="s">
        <v>163</v>
      </c>
      <c r="J87" s="3" t="str">
        <f>HYPERLINK("https://www.kristeligt-dagblad.dk/debat/forboen-fjernede-ikke-mine-smerter-kirken-maa-kunne-rumme-mennesker-uden-den-glade-afslutning", "Læs artikel")</f>
        <v>Læs artikel</v>
      </c>
      <c r="K87" s="2" t="s">
        <v>31</v>
      </c>
      <c r="L87" s="2" t="s">
        <v>32</v>
      </c>
      <c r="M87" s="2" t="s">
        <v>33</v>
      </c>
      <c r="N87" s="2" t="s">
        <v>538</v>
      </c>
      <c r="O87" s="2" t="s">
        <v>165</v>
      </c>
      <c r="P87" s="2"/>
      <c r="Q87" s="2"/>
      <c r="R87" s="2">
        <v>0.0</v>
      </c>
      <c r="S87" s="2"/>
      <c r="T87" s="2"/>
      <c r="U87" s="2"/>
      <c r="V87" s="2"/>
    </row>
    <row r="88">
      <c r="A88" s="2" t="s">
        <v>539</v>
      </c>
      <c r="B88" s="2" t="s">
        <v>540</v>
      </c>
      <c r="C88" s="2" t="s">
        <v>415</v>
      </c>
      <c r="D88" s="2" t="s">
        <v>123</v>
      </c>
      <c r="E88" s="2"/>
      <c r="F88" s="2" t="s">
        <v>541</v>
      </c>
      <c r="G88" s="2" t="s">
        <v>542</v>
      </c>
      <c r="H88" s="2"/>
      <c r="I88" s="2" t="s">
        <v>125</v>
      </c>
      <c r="J88" s="3" t="str">
        <f>HYPERLINK("https://www.berlingske.dk/kommentatorer/doedsboet-er-gjort-op--og-det-viser-en-grum-sandhed", "Læs artikel")</f>
        <v>Læs artikel</v>
      </c>
      <c r="K88" s="2" t="s">
        <v>31</v>
      </c>
      <c r="L88" s="2" t="s">
        <v>32</v>
      </c>
      <c r="M88" s="2" t="s">
        <v>33</v>
      </c>
      <c r="N88" s="2" t="s">
        <v>543</v>
      </c>
      <c r="O88" s="2" t="s">
        <v>128</v>
      </c>
      <c r="P88" s="2" t="s">
        <v>133</v>
      </c>
      <c r="Q88" s="2"/>
      <c r="R88" s="2">
        <v>10.0</v>
      </c>
      <c r="S88" s="2" t="s">
        <v>134</v>
      </c>
      <c r="T88" s="2"/>
      <c r="U88" s="2"/>
      <c r="V88" s="2"/>
    </row>
    <row r="89">
      <c r="A89" s="2" t="s">
        <v>544</v>
      </c>
      <c r="B89" s="2" t="s">
        <v>545</v>
      </c>
      <c r="C89" s="2" t="s">
        <v>415</v>
      </c>
      <c r="D89" s="2" t="s">
        <v>123</v>
      </c>
      <c r="E89" s="2"/>
      <c r="F89" s="2" t="s">
        <v>546</v>
      </c>
      <c r="G89" s="2" t="s">
        <v>547</v>
      </c>
      <c r="H89" s="2"/>
      <c r="I89" s="2" t="s">
        <v>163</v>
      </c>
      <c r="J89" s="3" t="str">
        <f>HYPERLINK("https://www.berlingske.dk/kronikker/i-krisetid-er-der-brug-for-flere-danske-foedevarer--ikke-faerre", "Læs artikel")</f>
        <v>Læs artikel</v>
      </c>
      <c r="K89" s="2" t="s">
        <v>31</v>
      </c>
      <c r="L89" s="2" t="s">
        <v>32</v>
      </c>
      <c r="M89" s="2" t="s">
        <v>33</v>
      </c>
      <c r="N89" s="2" t="s">
        <v>548</v>
      </c>
      <c r="O89" s="2" t="s">
        <v>165</v>
      </c>
      <c r="P89" s="2" t="s">
        <v>104</v>
      </c>
      <c r="Q89" s="2"/>
      <c r="R89" s="2">
        <v>50.0</v>
      </c>
      <c r="S89" s="2" t="s">
        <v>549</v>
      </c>
      <c r="T89" s="2"/>
      <c r="U89" s="2"/>
      <c r="V89" s="2"/>
    </row>
    <row r="90">
      <c r="A90" s="2" t="s">
        <v>550</v>
      </c>
      <c r="B90" s="2" t="s">
        <v>551</v>
      </c>
      <c r="C90" s="2" t="s">
        <v>415</v>
      </c>
      <c r="D90" s="2" t="s">
        <v>123</v>
      </c>
      <c r="E90" s="2"/>
      <c r="F90" s="2" t="s">
        <v>552</v>
      </c>
      <c r="G90" s="2" t="s">
        <v>553</v>
      </c>
      <c r="H90" s="2"/>
      <c r="I90" s="2" t="s">
        <v>30</v>
      </c>
      <c r="J90" s="3" t="str">
        <f>HYPERLINK("https://www.berlingske.dk/synspunkter/en-ny-regering-naermer-sig-og-derfor-lyder-det-afgoerende-spoergsmaal-faar-danmark-en-duelig-opposition", "Læs artikel")</f>
        <v>Læs artikel</v>
      </c>
      <c r="K90" s="2" t="s">
        <v>31</v>
      </c>
      <c r="L90" s="2" t="s">
        <v>32</v>
      </c>
      <c r="M90" s="2" t="s">
        <v>33</v>
      </c>
      <c r="N90" s="2" t="s">
        <v>554</v>
      </c>
      <c r="O90" s="2" t="s">
        <v>35</v>
      </c>
      <c r="P90" s="2" t="s">
        <v>133</v>
      </c>
      <c r="Q90" s="2" t="s">
        <v>555</v>
      </c>
      <c r="R90" s="2">
        <v>56.0</v>
      </c>
      <c r="S90" s="2" t="s">
        <v>556</v>
      </c>
      <c r="T90" s="2"/>
      <c r="U90" s="2"/>
      <c r="V90" s="2"/>
    </row>
    <row r="91">
      <c r="A91" s="2" t="s">
        <v>557</v>
      </c>
      <c r="B91" s="2" t="s">
        <v>558</v>
      </c>
      <c r="C91" s="2" t="s">
        <v>415</v>
      </c>
      <c r="D91" s="2" t="s">
        <v>123</v>
      </c>
      <c r="E91" s="2"/>
      <c r="F91" s="2" t="s">
        <v>559</v>
      </c>
      <c r="G91" s="2" t="s">
        <v>560</v>
      </c>
      <c r="H91" s="2"/>
      <c r="I91" s="2" t="s">
        <v>30</v>
      </c>
      <c r="J91" s="3" t="str">
        <f>HYPERLINK("https://www.berlingske.dk/synspunkter/de-frie-grundskoler-kan-vaere-en-del-af-loesningen-paa-folkeskolens-udfordringer", "Læs artikel")</f>
        <v>Læs artikel</v>
      </c>
      <c r="K91" s="2" t="s">
        <v>31</v>
      </c>
      <c r="L91" s="2" t="s">
        <v>32</v>
      </c>
      <c r="M91" s="2" t="s">
        <v>33</v>
      </c>
      <c r="N91" s="2" t="s">
        <v>561</v>
      </c>
      <c r="O91" s="2" t="s">
        <v>35</v>
      </c>
      <c r="P91" s="2" t="s">
        <v>562</v>
      </c>
      <c r="Q91" s="2"/>
      <c r="R91" s="2">
        <v>20.0</v>
      </c>
      <c r="S91" s="2" t="s">
        <v>97</v>
      </c>
      <c r="T91" s="2"/>
      <c r="U91" s="2"/>
      <c r="V91" s="2"/>
    </row>
    <row r="92">
      <c r="A92" s="2" t="s">
        <v>563</v>
      </c>
      <c r="B92" s="2" t="s">
        <v>564</v>
      </c>
      <c r="C92" s="2" t="s">
        <v>415</v>
      </c>
      <c r="D92" s="2" t="s">
        <v>123</v>
      </c>
      <c r="E92" s="2"/>
      <c r="F92" s="2" t="s">
        <v>565</v>
      </c>
      <c r="G92" s="2" t="s">
        <v>566</v>
      </c>
      <c r="H92" s="2"/>
      <c r="I92" s="2" t="s">
        <v>395</v>
      </c>
      <c r="J92" s="3" t="str">
        <f>HYPERLINK("https://www.berlingske.dk/ledere/berlingske-mener-lars-loekkes-roede-regering-er-det-rene-gift-for-boersmarkedet", "Læs artikel")</f>
        <v>Læs artikel</v>
      </c>
      <c r="K92" s="2" t="s">
        <v>31</v>
      </c>
      <c r="L92" s="2" t="s">
        <v>32</v>
      </c>
      <c r="M92" s="2" t="s">
        <v>33</v>
      </c>
      <c r="N92" s="2" t="s">
        <v>567</v>
      </c>
      <c r="O92" s="2"/>
      <c r="P92" s="2" t="s">
        <v>299</v>
      </c>
      <c r="Q92" s="2" t="s">
        <v>187</v>
      </c>
      <c r="R92" s="2">
        <v>40.0</v>
      </c>
      <c r="S92" s="2" t="s">
        <v>568</v>
      </c>
      <c r="T92" s="2" t="s">
        <v>215</v>
      </c>
      <c r="U92" s="2"/>
      <c r="V92" s="2"/>
    </row>
    <row r="93">
      <c r="A93" s="2" t="s">
        <v>569</v>
      </c>
      <c r="B93" s="2" t="s">
        <v>570</v>
      </c>
      <c r="C93" s="2" t="s">
        <v>399</v>
      </c>
      <c r="D93" s="2" t="s">
        <v>25</v>
      </c>
      <c r="E93" s="2" t="s">
        <v>400</v>
      </c>
      <c r="F93" s="2" t="s">
        <v>571</v>
      </c>
      <c r="G93" s="2" t="s">
        <v>572</v>
      </c>
      <c r="H93" s="2" t="s">
        <v>573</v>
      </c>
      <c r="I93" s="2" t="s">
        <v>240</v>
      </c>
      <c r="J93" s="3" t="str">
        <f>HYPERLINK("https://stiften.dk/debat/en-ond-spiral-paedagogen-staar-for-skud-men-det-er-rammerne-der-er-problemet", "Læs artikel")</f>
        <v>Læs artikel</v>
      </c>
      <c r="K93" s="2" t="s">
        <v>31</v>
      </c>
      <c r="L93" s="2" t="s">
        <v>32</v>
      </c>
      <c r="M93" s="2" t="s">
        <v>33</v>
      </c>
      <c r="N93" s="2" t="s">
        <v>574</v>
      </c>
      <c r="O93" s="2" t="s">
        <v>242</v>
      </c>
      <c r="P93" s="2" t="s">
        <v>118</v>
      </c>
      <c r="Q93" s="2"/>
      <c r="R93" s="2">
        <v>40.0</v>
      </c>
      <c r="S93" s="2" t="s">
        <v>575</v>
      </c>
      <c r="T93" s="2" t="s">
        <v>576</v>
      </c>
      <c r="U93" s="2"/>
      <c r="V93" s="2"/>
    </row>
    <row r="94">
      <c r="A94" s="2" t="s">
        <v>577</v>
      </c>
      <c r="B94" s="2" t="s">
        <v>578</v>
      </c>
      <c r="C94" s="2" t="s">
        <v>415</v>
      </c>
      <c r="D94" s="2" t="s">
        <v>123</v>
      </c>
      <c r="E94" s="2"/>
      <c r="F94" s="2" t="s">
        <v>579</v>
      </c>
      <c r="G94" s="2" t="s">
        <v>580</v>
      </c>
      <c r="H94" s="2"/>
      <c r="I94" s="2" t="s">
        <v>30</v>
      </c>
      <c r="J94" s="3" t="str">
        <f>HYPERLINK("https://www.berlingske.dk/synspunkter/mange-er-bekymret-for-generation-ai-i-gymnasiet-men-saa-proevede-laerer-en-ny-eksamensform-der-giver-ham-haab", "Læs artikel")</f>
        <v>Læs artikel</v>
      </c>
      <c r="K94" s="2" t="s">
        <v>31</v>
      </c>
      <c r="L94" s="2" t="s">
        <v>32</v>
      </c>
      <c r="M94" s="2" t="s">
        <v>33</v>
      </c>
      <c r="N94" s="2" t="s">
        <v>581</v>
      </c>
      <c r="O94" s="2" t="s">
        <v>35</v>
      </c>
      <c r="P94" s="2" t="s">
        <v>582</v>
      </c>
      <c r="Q94" s="2"/>
      <c r="R94" s="2">
        <v>20.0</v>
      </c>
      <c r="S94" s="2" t="s">
        <v>97</v>
      </c>
      <c r="T94" s="2"/>
      <c r="U94" s="2"/>
      <c r="V94" s="2"/>
    </row>
    <row r="95">
      <c r="A95" s="2" t="s">
        <v>583</v>
      </c>
      <c r="B95" s="2" t="s">
        <v>584</v>
      </c>
      <c r="C95" s="2" t="s">
        <v>527</v>
      </c>
      <c r="D95" s="2" t="s">
        <v>123</v>
      </c>
      <c r="E95" s="2"/>
      <c r="F95" s="2" t="s">
        <v>585</v>
      </c>
      <c r="G95" s="2" t="s">
        <v>586</v>
      </c>
      <c r="H95" s="2" t="s">
        <v>587</v>
      </c>
      <c r="I95" s="2" t="s">
        <v>395</v>
      </c>
      <c r="J95" s="3" t="str">
        <f>HYPERLINK("https://www.kristeligt-dagblad.dk/debat/medierne-skal-staa-noget-ellers-falder-de-alt", "Læs artikel")</f>
        <v>Læs artikel</v>
      </c>
      <c r="K95" s="2" t="s">
        <v>31</v>
      </c>
      <c r="L95" s="2" t="s">
        <v>32</v>
      </c>
      <c r="M95" s="2" t="s">
        <v>33</v>
      </c>
      <c r="N95" s="2" t="s">
        <v>588</v>
      </c>
      <c r="O95" s="2"/>
      <c r="P95" s="2" t="s">
        <v>589</v>
      </c>
      <c r="Q95" s="2"/>
      <c r="R95" s="2">
        <v>28.0</v>
      </c>
      <c r="S95" s="2" t="s">
        <v>590</v>
      </c>
      <c r="T95" s="2"/>
      <c r="U95" s="2"/>
      <c r="V95" s="2"/>
    </row>
    <row r="96">
      <c r="A96" s="2" t="s">
        <v>591</v>
      </c>
      <c r="B96" s="2" t="s">
        <v>592</v>
      </c>
      <c r="C96" s="2" t="s">
        <v>415</v>
      </c>
      <c r="D96" s="2" t="s">
        <v>123</v>
      </c>
      <c r="E96" s="2"/>
      <c r="F96" s="2" t="s">
        <v>593</v>
      </c>
      <c r="G96" s="2" t="s">
        <v>594</v>
      </c>
      <c r="H96" s="2"/>
      <c r="I96" s="2" t="s">
        <v>125</v>
      </c>
      <c r="J96" s="3" t="str">
        <f>HYPERLINK("https://www.berlingske.dk/kommentatorer/paa-tiktok-gav-en-georgisk-madkurer-sin-frustration-frit-loeb-hans-sag-vidner-om-europas-recession-i-ytringsfrihed", "Læs artikel")</f>
        <v>Læs artikel</v>
      </c>
      <c r="K96" s="2" t="s">
        <v>31</v>
      </c>
      <c r="L96" s="2" t="s">
        <v>32</v>
      </c>
      <c r="M96" s="2" t="s">
        <v>33</v>
      </c>
      <c r="N96" s="2" t="s">
        <v>595</v>
      </c>
      <c r="O96" s="2" t="s">
        <v>128</v>
      </c>
      <c r="P96" s="2" t="s">
        <v>596</v>
      </c>
      <c r="Q96" s="2"/>
      <c r="R96" s="2">
        <v>78.0</v>
      </c>
      <c r="S96" s="2" t="s">
        <v>597</v>
      </c>
      <c r="T96" s="2"/>
      <c r="U96" s="2"/>
      <c r="V96" s="2"/>
    </row>
    <row r="97">
      <c r="A97" s="2" t="s">
        <v>598</v>
      </c>
      <c r="B97" s="2" t="s">
        <v>599</v>
      </c>
      <c r="C97" s="2" t="s">
        <v>399</v>
      </c>
      <c r="D97" s="2" t="s">
        <v>25</v>
      </c>
      <c r="E97" s="2" t="s">
        <v>400</v>
      </c>
      <c r="F97" s="2" t="s">
        <v>600</v>
      </c>
      <c r="G97" s="2" t="s">
        <v>601</v>
      </c>
      <c r="H97" s="2" t="s">
        <v>602</v>
      </c>
      <c r="I97" s="2" t="s">
        <v>240</v>
      </c>
      <c r="J97" s="3" t="str">
        <f>HYPERLINK("https://stiften.dk/debat/hjaelp-bilisterne-og-os-andre-byg-mere-letbane", "Læs artikel")</f>
        <v>Læs artikel</v>
      </c>
      <c r="K97" s="2" t="s">
        <v>31</v>
      </c>
      <c r="L97" s="2" t="s">
        <v>32</v>
      </c>
      <c r="M97" s="2" t="s">
        <v>33</v>
      </c>
      <c r="N97" s="2" t="s">
        <v>603</v>
      </c>
      <c r="O97" s="2" t="s">
        <v>242</v>
      </c>
      <c r="P97" s="2"/>
      <c r="Q97" s="2"/>
      <c r="R97" s="2">
        <v>0.0</v>
      </c>
      <c r="S97" s="2"/>
      <c r="T97" s="2" t="s">
        <v>604</v>
      </c>
      <c r="U97" s="2"/>
      <c r="V97" s="2"/>
    </row>
    <row r="98">
      <c r="A98" s="2" t="s">
        <v>605</v>
      </c>
      <c r="B98" s="2" t="s">
        <v>606</v>
      </c>
      <c r="C98" s="2" t="s">
        <v>399</v>
      </c>
      <c r="D98" s="2" t="s">
        <v>25</v>
      </c>
      <c r="E98" s="2" t="s">
        <v>400</v>
      </c>
      <c r="F98" s="2" t="s">
        <v>607</v>
      </c>
      <c r="G98" s="2" t="s">
        <v>608</v>
      </c>
      <c r="H98" s="2"/>
      <c r="I98" s="2" t="s">
        <v>395</v>
      </c>
      <c r="J98" s="3" t="str">
        <f>HYPERLINK("https://stiften.dk/debat/hvad-skal-der-egentlig-til-foer-politiet-gider-reagere", "Læs artikel")</f>
        <v>Læs artikel</v>
      </c>
      <c r="K98" s="2" t="s">
        <v>31</v>
      </c>
      <c r="L98" s="2" t="s">
        <v>32</v>
      </c>
      <c r="M98" s="2" t="s">
        <v>33</v>
      </c>
      <c r="N98" s="2" t="s">
        <v>609</v>
      </c>
      <c r="O98" s="2"/>
      <c r="P98" s="2" t="s">
        <v>443</v>
      </c>
      <c r="Q98" s="2"/>
      <c r="R98" s="2">
        <v>22.0</v>
      </c>
      <c r="S98" s="2" t="s">
        <v>119</v>
      </c>
      <c r="T98" s="2"/>
      <c r="U98" s="2"/>
      <c r="V98" s="2"/>
    </row>
    <row r="99">
      <c r="A99" s="2" t="s">
        <v>610</v>
      </c>
      <c r="B99" s="2" t="s">
        <v>611</v>
      </c>
      <c r="C99" s="2" t="s">
        <v>391</v>
      </c>
      <c r="D99" s="2" t="s">
        <v>25</v>
      </c>
      <c r="E99" s="2" t="s">
        <v>392</v>
      </c>
      <c r="F99" s="2" t="s">
        <v>612</v>
      </c>
      <c r="G99" s="2" t="s">
        <v>613</v>
      </c>
      <c r="H99" s="2"/>
      <c r="I99" s="2" t="s">
        <v>395</v>
      </c>
      <c r="J99" s="3" t="str">
        <f>HYPERLINK("https://fyens.dk/debat/raab-afstraffelse-eller-ros-og-en-godbid-hvordan-opdrager-du-din-hund", "Læs artikel")</f>
        <v>Læs artikel</v>
      </c>
      <c r="K99" s="2" t="s">
        <v>31</v>
      </c>
      <c r="L99" s="2" t="s">
        <v>32</v>
      </c>
      <c r="M99" s="2" t="s">
        <v>33</v>
      </c>
      <c r="N99" s="2" t="s">
        <v>614</v>
      </c>
      <c r="O99" s="2"/>
      <c r="P99" s="2" t="s">
        <v>443</v>
      </c>
      <c r="Q99" s="2"/>
      <c r="R99" s="2">
        <v>22.0</v>
      </c>
      <c r="S99" s="2" t="s">
        <v>119</v>
      </c>
      <c r="T99" s="2"/>
      <c r="U99" s="2"/>
      <c r="V99" s="2"/>
    </row>
    <row r="100">
      <c r="A100" s="2" t="s">
        <v>615</v>
      </c>
      <c r="B100" s="2" t="s">
        <v>616</v>
      </c>
      <c r="C100" s="2" t="s">
        <v>415</v>
      </c>
      <c r="D100" s="2" t="s">
        <v>123</v>
      </c>
      <c r="E100" s="2"/>
      <c r="F100" s="2" t="s">
        <v>617</v>
      </c>
      <c r="G100" s="2" t="s">
        <v>618</v>
      </c>
      <c r="H100" s="2"/>
      <c r="I100" s="2" t="s">
        <v>395</v>
      </c>
      <c r="J100" s="3" t="str">
        <f>HYPERLINK("https://www.berlingske.dk/ledere/berlingske-mener-dette-er-et-nyt-lavpunkt-for-trumps-moral", "Læs artikel")</f>
        <v>Læs artikel</v>
      </c>
      <c r="K100" s="2" t="s">
        <v>31</v>
      </c>
      <c r="L100" s="2" t="s">
        <v>32</v>
      </c>
      <c r="M100" s="2" t="s">
        <v>33</v>
      </c>
      <c r="N100" s="2" t="s">
        <v>619</v>
      </c>
      <c r="O100" s="2"/>
      <c r="P100" s="2" t="s">
        <v>249</v>
      </c>
      <c r="Q100" s="2"/>
      <c r="R100" s="2">
        <v>0.0</v>
      </c>
      <c r="S100" s="2"/>
      <c r="T100" s="2"/>
      <c r="U100" s="2"/>
      <c r="V100" s="2"/>
    </row>
    <row r="101">
      <c r="A101" s="2" t="s">
        <v>620</v>
      </c>
      <c r="B101" s="2" t="s">
        <v>621</v>
      </c>
      <c r="C101" s="2" t="s">
        <v>415</v>
      </c>
      <c r="D101" s="2" t="s">
        <v>123</v>
      </c>
      <c r="E101" s="2"/>
      <c r="F101" s="2" t="s">
        <v>622</v>
      </c>
      <c r="G101" s="2" t="s">
        <v>623</v>
      </c>
      <c r="H101" s="2"/>
      <c r="I101" s="2" t="s">
        <v>125</v>
      </c>
      <c r="J101" s="3" t="str">
        <f>HYPERLINK("https://www.berlingske.dk/kommentatorer/sikke-et-fald-fra-tinderne-for-loekke-der-nu-blot-er-en-radikal-kopivare", "Læs artikel")</f>
        <v>Læs artikel</v>
      </c>
      <c r="K101" s="2" t="s">
        <v>31</v>
      </c>
      <c r="L101" s="2" t="s">
        <v>32</v>
      </c>
      <c r="M101" s="2" t="s">
        <v>33</v>
      </c>
      <c r="N101" s="2" t="s">
        <v>624</v>
      </c>
      <c r="O101" s="2" t="s">
        <v>128</v>
      </c>
      <c r="P101" s="2"/>
      <c r="Q101" s="2" t="s">
        <v>187</v>
      </c>
      <c r="R101" s="2">
        <v>38.0</v>
      </c>
      <c r="S101" s="2" t="s">
        <v>625</v>
      </c>
      <c r="T101" s="2" t="s">
        <v>215</v>
      </c>
      <c r="U101" s="2"/>
      <c r="V101" s="2"/>
    </row>
    <row r="102">
      <c r="A102" s="2" t="s">
        <v>626</v>
      </c>
      <c r="B102" s="2" t="s">
        <v>627</v>
      </c>
      <c r="C102" s="2" t="s">
        <v>415</v>
      </c>
      <c r="D102" s="2" t="s">
        <v>123</v>
      </c>
      <c r="E102" s="2"/>
      <c r="F102" s="2" t="s">
        <v>628</v>
      </c>
      <c r="G102" s="2" t="s">
        <v>629</v>
      </c>
      <c r="H102" s="2"/>
      <c r="I102" s="2" t="s">
        <v>125</v>
      </c>
      <c r="J102" s="3" t="str">
        <f>HYPERLINK("https://www.berlingske.dk/kommentatorer/midterregeringen-blev-ikke-den-nye-normal-i-dansk-politik-det-er-meget-glaedeligt", "Læs artikel")</f>
        <v>Læs artikel</v>
      </c>
      <c r="K102" s="2" t="s">
        <v>31</v>
      </c>
      <c r="L102" s="2" t="s">
        <v>32</v>
      </c>
      <c r="M102" s="2" t="s">
        <v>33</v>
      </c>
      <c r="N102" s="2" t="s">
        <v>630</v>
      </c>
      <c r="O102" s="2" t="s">
        <v>128</v>
      </c>
      <c r="P102" s="2" t="s">
        <v>631</v>
      </c>
      <c r="Q102" s="2"/>
      <c r="R102" s="2">
        <v>42.0</v>
      </c>
      <c r="S102" s="2" t="s">
        <v>151</v>
      </c>
      <c r="T102" s="2"/>
      <c r="U102" s="2"/>
      <c r="V102" s="2"/>
    </row>
    <row r="103">
      <c r="A103" s="2" t="s">
        <v>632</v>
      </c>
      <c r="B103" s="2" t="s">
        <v>633</v>
      </c>
      <c r="C103" s="2" t="s">
        <v>122</v>
      </c>
      <c r="D103" s="2" t="s">
        <v>123</v>
      </c>
      <c r="E103" s="2"/>
      <c r="F103" s="2" t="s">
        <v>634</v>
      </c>
      <c r="G103" s="2"/>
      <c r="H103" s="2"/>
      <c r="I103" s="2" t="s">
        <v>125</v>
      </c>
      <c r="J103" s="3" t="str">
        <f>HYPERLINK("https://www.altinget.dk/artikel/vi-boer-udskamme-brugen-af-kunstig-intelligens-meget-mere", "Læs artikel")</f>
        <v>Læs artikel</v>
      </c>
      <c r="K103" s="2" t="s">
        <v>31</v>
      </c>
      <c r="L103" s="2" t="s">
        <v>32</v>
      </c>
      <c r="M103" s="2" t="s">
        <v>33</v>
      </c>
      <c r="N103" s="2" t="s">
        <v>635</v>
      </c>
      <c r="O103" s="2" t="s">
        <v>128</v>
      </c>
      <c r="P103" s="2"/>
      <c r="Q103" s="2"/>
      <c r="R103" s="2">
        <v>0.0</v>
      </c>
      <c r="S103" s="2"/>
      <c r="T103" s="2"/>
      <c r="U103" s="2"/>
      <c r="V103" s="2"/>
    </row>
    <row r="104">
      <c r="A104" s="2" t="s">
        <v>636</v>
      </c>
      <c r="B104" s="2" t="s">
        <v>633</v>
      </c>
      <c r="C104" s="2" t="s">
        <v>122</v>
      </c>
      <c r="D104" s="2" t="s">
        <v>123</v>
      </c>
      <c r="E104" s="2"/>
      <c r="F104" s="2" t="s">
        <v>637</v>
      </c>
      <c r="G104" s="2"/>
      <c r="H104" s="2"/>
      <c r="I104" s="2" t="s">
        <v>30</v>
      </c>
      <c r="J104" s="3" t="str">
        <f>HYPERLINK("https://www.altinget.dk/artikel/tidligere-kommunalpolitiker-hvornaar-forstaar-i-at-tillid-ikke-kan-tvinges-frem-med-et-haandtryk", "Læs artikel")</f>
        <v>Læs artikel</v>
      </c>
      <c r="K104" s="2" t="s">
        <v>31</v>
      </c>
      <c r="L104" s="2" t="s">
        <v>32</v>
      </c>
      <c r="M104" s="2" t="s">
        <v>33</v>
      </c>
      <c r="N104" s="2" t="s">
        <v>638</v>
      </c>
      <c r="O104" s="2" t="s">
        <v>35</v>
      </c>
      <c r="P104" s="2" t="s">
        <v>104</v>
      </c>
      <c r="Q104" s="2"/>
      <c r="R104" s="2">
        <v>60.0</v>
      </c>
      <c r="S104" s="2" t="s">
        <v>639</v>
      </c>
      <c r="T104" s="2"/>
      <c r="U104" s="2"/>
      <c r="V104" s="2"/>
    </row>
    <row r="105">
      <c r="A105" s="2" t="s">
        <v>640</v>
      </c>
      <c r="B105" s="2" t="s">
        <v>633</v>
      </c>
      <c r="C105" s="2" t="s">
        <v>122</v>
      </c>
      <c r="D105" s="2" t="s">
        <v>123</v>
      </c>
      <c r="E105" s="2"/>
      <c r="F105" s="2" t="s">
        <v>641</v>
      </c>
      <c r="G105" s="2"/>
      <c r="H105" s="2"/>
      <c r="I105" s="2" t="s">
        <v>125</v>
      </c>
      <c r="J105" s="3" t="str">
        <f>HYPERLINK("https://www.altinget.dk/artikel/det-vigtigste-spor-i-grisedokumentar-handler-om-de-demokratiske-processer-eller-manglen-på-samme", "Læs artikel")</f>
        <v>Læs artikel</v>
      </c>
      <c r="K105" s="2" t="s">
        <v>31</v>
      </c>
      <c r="L105" s="2" t="s">
        <v>32</v>
      </c>
      <c r="M105" s="2" t="s">
        <v>33</v>
      </c>
      <c r="N105" s="2" t="s">
        <v>642</v>
      </c>
      <c r="O105" s="2" t="s">
        <v>128</v>
      </c>
      <c r="P105" s="2"/>
      <c r="Q105" s="2"/>
      <c r="R105" s="2">
        <v>0.0</v>
      </c>
      <c r="S105" s="2"/>
      <c r="T105" s="2"/>
      <c r="U105" s="2"/>
      <c r="V105" s="2"/>
    </row>
    <row r="106">
      <c r="A106" s="2" t="s">
        <v>643</v>
      </c>
      <c r="B106" s="2" t="s">
        <v>644</v>
      </c>
      <c r="C106" s="2" t="s">
        <v>645</v>
      </c>
      <c r="D106" s="2" t="s">
        <v>25</v>
      </c>
      <c r="E106" s="2" t="s">
        <v>646</v>
      </c>
      <c r="F106" s="2" t="s">
        <v>647</v>
      </c>
      <c r="G106" s="2" t="s">
        <v>648</v>
      </c>
      <c r="H106" s="2" t="s">
        <v>649</v>
      </c>
      <c r="I106" s="2" t="s">
        <v>30</v>
      </c>
      <c r="J106" s="3" t="str">
        <f>HYPERLINK("https://viborg-folkeblad.dk/debat/laeserbrev-industriparken-ved-oerum", "Læs artikel")</f>
        <v>Læs artikel</v>
      </c>
      <c r="K106" s="2" t="s">
        <v>31</v>
      </c>
      <c r="L106" s="2" t="s">
        <v>32</v>
      </c>
      <c r="M106" s="2" t="s">
        <v>33</v>
      </c>
      <c r="N106" s="2" t="s">
        <v>650</v>
      </c>
      <c r="O106" s="2" t="s">
        <v>35</v>
      </c>
      <c r="P106" s="2"/>
      <c r="Q106" s="2"/>
      <c r="R106" s="2">
        <v>18.0</v>
      </c>
      <c r="S106" s="2" t="s">
        <v>112</v>
      </c>
      <c r="T106" s="2"/>
      <c r="U106" s="2"/>
      <c r="V106" s="2"/>
    </row>
    <row r="107">
      <c r="A107" s="2" t="s">
        <v>651</v>
      </c>
      <c r="B107" s="2" t="s">
        <v>652</v>
      </c>
      <c r="C107" s="2" t="s">
        <v>415</v>
      </c>
      <c r="D107" s="2" t="s">
        <v>123</v>
      </c>
      <c r="E107" s="2"/>
      <c r="F107" s="2" t="s">
        <v>653</v>
      </c>
      <c r="G107" s="2" t="s">
        <v>654</v>
      </c>
      <c r="H107" s="2"/>
      <c r="I107" s="2" t="s">
        <v>163</v>
      </c>
      <c r="J107" s="3" t="str">
        <f>HYPERLINK("https://www.berlingske.dk/kronikker/brugen-af-ai-paa-universiteterne-har-skabt-et-akut-spoergsmaal--nu-vil-universitetsledere-have-aendret-reglerne", "Læs artikel")</f>
        <v>Læs artikel</v>
      </c>
      <c r="K107" s="2" t="s">
        <v>31</v>
      </c>
      <c r="L107" s="2" t="s">
        <v>32</v>
      </c>
      <c r="M107" s="2" t="s">
        <v>33</v>
      </c>
      <c r="N107" s="2" t="s">
        <v>655</v>
      </c>
      <c r="O107" s="2" t="s">
        <v>165</v>
      </c>
      <c r="P107" s="2" t="s">
        <v>656</v>
      </c>
      <c r="Q107" s="2"/>
      <c r="R107" s="2">
        <v>10.0</v>
      </c>
      <c r="S107" s="2" t="s">
        <v>74</v>
      </c>
      <c r="T107" s="2"/>
      <c r="U107" s="2"/>
      <c r="V107" s="2"/>
    </row>
    <row r="108">
      <c r="A108" s="2" t="s">
        <v>657</v>
      </c>
      <c r="B108" s="2" t="s">
        <v>658</v>
      </c>
      <c r="C108" s="2" t="s">
        <v>415</v>
      </c>
      <c r="D108" s="2" t="s">
        <v>123</v>
      </c>
      <c r="E108" s="2"/>
      <c r="F108" s="2" t="s">
        <v>659</v>
      </c>
      <c r="G108" s="2"/>
      <c r="H108" s="2"/>
      <c r="I108" s="2" t="s">
        <v>30</v>
      </c>
      <c r="J108" s="3" t="str">
        <f>HYPERLINK("https://www.berlingske.dk/laesere/historien-vil-ikke-huske-os-for-hvor-billig-vores-diesel-var-i-2026-men-om-vi-stod-fast-da-det-kostede-noget", "Læs artikel")</f>
        <v>Læs artikel</v>
      </c>
      <c r="K108" s="2" t="s">
        <v>31</v>
      </c>
      <c r="L108" s="2" t="s">
        <v>32</v>
      </c>
      <c r="M108" s="2" t="s">
        <v>33</v>
      </c>
      <c r="N108" s="2" t="s">
        <v>660</v>
      </c>
      <c r="O108" s="2" t="s">
        <v>35</v>
      </c>
      <c r="P108" s="2" t="s">
        <v>96</v>
      </c>
      <c r="Q108" s="2"/>
      <c r="R108" s="2">
        <v>38.0</v>
      </c>
      <c r="S108" s="2" t="s">
        <v>661</v>
      </c>
      <c r="T108" s="2"/>
      <c r="U108" s="2"/>
      <c r="V108" s="2"/>
    </row>
    <row r="109">
      <c r="A109" s="2" t="s">
        <v>662</v>
      </c>
      <c r="B109" s="2" t="s">
        <v>663</v>
      </c>
      <c r="C109" s="2" t="s">
        <v>477</v>
      </c>
      <c r="D109" s="2" t="s">
        <v>123</v>
      </c>
      <c r="E109" s="2"/>
      <c r="F109" s="2" t="s">
        <v>664</v>
      </c>
      <c r="G109" s="2" t="s">
        <v>665</v>
      </c>
      <c r="H109" s="2" t="s">
        <v>666</v>
      </c>
      <c r="I109" s="2" t="s">
        <v>481</v>
      </c>
      <c r="J109" s="3" t="str">
        <f>HYPERLINK("https://www.information.dk/debat/2026/05/fem-aar-samtykkeloven-gjort-forvirrede-teenagedrenge-voldtaegtsmaend", "Læs artikel")</f>
        <v>Læs artikel</v>
      </c>
      <c r="K109" s="2" t="s">
        <v>31</v>
      </c>
      <c r="L109" s="2" t="s">
        <v>32</v>
      </c>
      <c r="M109" s="2" t="s">
        <v>33</v>
      </c>
      <c r="N109" s="2" t="s">
        <v>667</v>
      </c>
      <c r="O109" s="2" t="s">
        <v>35</v>
      </c>
      <c r="P109" s="2" t="s">
        <v>443</v>
      </c>
      <c r="Q109" s="2"/>
      <c r="R109" s="2">
        <v>28.0</v>
      </c>
      <c r="S109" s="2" t="s">
        <v>668</v>
      </c>
      <c r="T109" s="2" t="s">
        <v>669</v>
      </c>
      <c r="U109" s="2"/>
      <c r="V109" s="2"/>
    </row>
    <row r="110">
      <c r="A110" s="2" t="s">
        <v>670</v>
      </c>
      <c r="B110" s="2" t="s">
        <v>671</v>
      </c>
      <c r="C110" s="2" t="s">
        <v>477</v>
      </c>
      <c r="D110" s="2" t="s">
        <v>123</v>
      </c>
      <c r="E110" s="2"/>
      <c r="F110" s="2" t="s">
        <v>672</v>
      </c>
      <c r="G110" s="2" t="s">
        <v>673</v>
      </c>
      <c r="H110" s="2" t="s">
        <v>674</v>
      </c>
      <c r="I110" s="2" t="s">
        <v>481</v>
      </c>
      <c r="J110" s="3" t="str">
        <f>HYPERLINK("https://www.information.dk/debat/2026/05/information-stadig-modstandsavis-outzes-aand-tvivler", "Læs artikel")</f>
        <v>Læs artikel</v>
      </c>
      <c r="K110" s="2" t="s">
        <v>31</v>
      </c>
      <c r="L110" s="2" t="s">
        <v>32</v>
      </c>
      <c r="M110" s="2" t="s">
        <v>33</v>
      </c>
      <c r="N110" s="2" t="s">
        <v>675</v>
      </c>
      <c r="O110" s="2" t="s">
        <v>35</v>
      </c>
      <c r="P110" s="2"/>
      <c r="Q110" s="2"/>
      <c r="R110" s="2">
        <v>8.0</v>
      </c>
      <c r="S110" s="2" t="s">
        <v>145</v>
      </c>
      <c r="T110" s="2"/>
      <c r="U110" s="2"/>
      <c r="V110" s="2"/>
    </row>
    <row r="111">
      <c r="A111" s="2" t="s">
        <v>676</v>
      </c>
      <c r="B111" s="2" t="s">
        <v>677</v>
      </c>
      <c r="C111" s="2" t="s">
        <v>477</v>
      </c>
      <c r="D111" s="2" t="s">
        <v>123</v>
      </c>
      <c r="E111" s="2"/>
      <c r="F111" s="2" t="s">
        <v>678</v>
      </c>
      <c r="G111" s="2" t="s">
        <v>679</v>
      </c>
      <c r="H111" s="2" t="s">
        <v>680</v>
      </c>
      <c r="I111" s="2" t="s">
        <v>481</v>
      </c>
      <c r="J111" s="3" t="str">
        <f>HYPERLINK("https://www.information.dk/debat/2026/05/naar-fredelige-demonstranter-moedes-stave-hunde-udhules-tilliden-samfundet", "Læs artikel")</f>
        <v>Læs artikel</v>
      </c>
      <c r="K111" s="2" t="s">
        <v>31</v>
      </c>
      <c r="L111" s="2" t="s">
        <v>32</v>
      </c>
      <c r="M111" s="2" t="s">
        <v>33</v>
      </c>
      <c r="N111" s="2" t="s">
        <v>681</v>
      </c>
      <c r="O111" s="2" t="s">
        <v>35</v>
      </c>
      <c r="P111" s="2" t="s">
        <v>443</v>
      </c>
      <c r="Q111" s="2"/>
      <c r="R111" s="2">
        <v>10.0</v>
      </c>
      <c r="S111" s="2" t="s">
        <v>134</v>
      </c>
      <c r="T111" s="2"/>
      <c r="U111" s="2"/>
      <c r="V111" s="2"/>
    </row>
    <row r="112">
      <c r="A112" s="2" t="s">
        <v>682</v>
      </c>
      <c r="B112" s="2" t="s">
        <v>683</v>
      </c>
      <c r="C112" s="2" t="s">
        <v>477</v>
      </c>
      <c r="D112" s="2" t="s">
        <v>123</v>
      </c>
      <c r="E112" s="2"/>
      <c r="F112" s="2" t="s">
        <v>684</v>
      </c>
      <c r="G112" s="2" t="s">
        <v>685</v>
      </c>
      <c r="H112" s="2" t="s">
        <v>686</v>
      </c>
      <c r="I112" s="2" t="s">
        <v>481</v>
      </c>
      <c r="J112" s="3" t="str">
        <f>HYPERLINK("https://www.information.dk/debat/2026/05/groenlands-selvstaendighed-pris-danmark-bestemmer-kan-flytte", "Læs artikel")</f>
        <v>Læs artikel</v>
      </c>
      <c r="K112" s="2" t="s">
        <v>31</v>
      </c>
      <c r="L112" s="2" t="s">
        <v>32</v>
      </c>
      <c r="M112" s="2" t="s">
        <v>33</v>
      </c>
      <c r="N112" s="2" t="s">
        <v>687</v>
      </c>
      <c r="O112" s="2" t="s">
        <v>35</v>
      </c>
      <c r="P112" s="2" t="s">
        <v>688</v>
      </c>
      <c r="Q112" s="2" t="s">
        <v>689</v>
      </c>
      <c r="R112" s="2">
        <v>28.0</v>
      </c>
      <c r="S112" s="2" t="s">
        <v>690</v>
      </c>
      <c r="T112" s="2" t="s">
        <v>691</v>
      </c>
      <c r="U112" s="2"/>
      <c r="V112" s="2"/>
    </row>
    <row r="113">
      <c r="A113" s="2" t="s">
        <v>692</v>
      </c>
      <c r="B113" s="2" t="s">
        <v>693</v>
      </c>
      <c r="C113" s="2" t="s">
        <v>477</v>
      </c>
      <c r="D113" s="2" t="s">
        <v>123</v>
      </c>
      <c r="E113" s="2"/>
      <c r="F113" s="2" t="s">
        <v>694</v>
      </c>
      <c r="G113" s="2" t="s">
        <v>695</v>
      </c>
      <c r="H113" s="2" t="s">
        <v>696</v>
      </c>
      <c r="I113" s="2" t="s">
        <v>481</v>
      </c>
      <c r="J113" s="3" t="str">
        <f>HYPERLINK("https://www.information.dk/debat/2026/05/yanis-varoufakis-nato-doe", "Læs artikel")</f>
        <v>Læs artikel</v>
      </c>
      <c r="K113" s="2" t="s">
        <v>31</v>
      </c>
      <c r="L113" s="2" t="s">
        <v>32</v>
      </c>
      <c r="M113" s="2" t="s">
        <v>33</v>
      </c>
      <c r="N113" s="2" t="s">
        <v>697</v>
      </c>
      <c r="O113" s="2" t="s">
        <v>35</v>
      </c>
      <c r="P113" s="2" t="s">
        <v>249</v>
      </c>
      <c r="Q113" s="2" t="s">
        <v>698</v>
      </c>
      <c r="R113" s="2">
        <v>20.0</v>
      </c>
      <c r="S113" s="2" t="s">
        <v>188</v>
      </c>
      <c r="T113" s="2"/>
      <c r="U113" s="2"/>
      <c r="V113" s="2"/>
    </row>
    <row r="114">
      <c r="A114" s="2" t="s">
        <v>699</v>
      </c>
      <c r="B114" s="2" t="s">
        <v>700</v>
      </c>
      <c r="C114" s="2" t="s">
        <v>701</v>
      </c>
      <c r="D114" s="2" t="s">
        <v>25</v>
      </c>
      <c r="E114" s="2" t="s">
        <v>702</v>
      </c>
      <c r="F114" s="2" t="s">
        <v>703</v>
      </c>
      <c r="G114" s="2" t="s">
        <v>704</v>
      </c>
      <c r="H114" s="2"/>
      <c r="I114" s="2" t="s">
        <v>395</v>
      </c>
      <c r="J114" s="3" t="str">
        <f>HYPERLINK("https://jv.dk/debat/planlaegningsforstoppelse-den-groenne-omstilling-drukner-i-succes", "Læs artikel")</f>
        <v>Læs artikel</v>
      </c>
      <c r="K114" s="2" t="s">
        <v>31</v>
      </c>
      <c r="L114" s="2" t="s">
        <v>32</v>
      </c>
      <c r="M114" s="2" t="s">
        <v>33</v>
      </c>
      <c r="N114" s="2" t="s">
        <v>705</v>
      </c>
      <c r="O114" s="2"/>
      <c r="P114" s="2" t="s">
        <v>138</v>
      </c>
      <c r="Q114" s="2"/>
      <c r="R114" s="2">
        <v>32.0</v>
      </c>
      <c r="S114" s="2" t="s">
        <v>88</v>
      </c>
      <c r="T114" s="2"/>
      <c r="U114" s="2"/>
      <c r="V114" s="2"/>
    </row>
    <row r="115">
      <c r="A115" s="2" t="s">
        <v>706</v>
      </c>
      <c r="B115" s="2" t="s">
        <v>707</v>
      </c>
      <c r="C115" s="2" t="s">
        <v>407</v>
      </c>
      <c r="D115" s="2" t="s">
        <v>25</v>
      </c>
      <c r="E115" s="2" t="s">
        <v>408</v>
      </c>
      <c r="F115" s="2" t="s">
        <v>708</v>
      </c>
      <c r="G115" s="2" t="s">
        <v>709</v>
      </c>
      <c r="H115" s="2" t="s">
        <v>710</v>
      </c>
      <c r="I115" s="2" t="s">
        <v>30</v>
      </c>
      <c r="J115" s="3" t="str">
        <f>HYPERLINK("https://nordjyske.dk/nyheder/erhverv/hvor-bliver-de-store-nordjyske-virksomheder-af-vi-begynder-jagten-paa-svaret-nu/6048745", "Læs artikel")</f>
        <v>Læs artikel</v>
      </c>
      <c r="K115" s="2" t="s">
        <v>31</v>
      </c>
      <c r="L115" s="2" t="s">
        <v>32</v>
      </c>
      <c r="M115" s="2" t="s">
        <v>33</v>
      </c>
      <c r="N115" s="2" t="s">
        <v>711</v>
      </c>
      <c r="O115" s="2" t="s">
        <v>35</v>
      </c>
      <c r="P115" s="2" t="s">
        <v>712</v>
      </c>
      <c r="Q115" s="2" t="s">
        <v>713</v>
      </c>
      <c r="R115" s="2">
        <v>20.0</v>
      </c>
      <c r="S115" s="2" t="s">
        <v>97</v>
      </c>
      <c r="T115" s="2"/>
      <c r="U115" s="2"/>
      <c r="V115" s="2"/>
    </row>
    <row r="116">
      <c r="A116" s="2" t="s">
        <v>714</v>
      </c>
      <c r="B116" s="2" t="s">
        <v>715</v>
      </c>
      <c r="C116" s="2" t="s">
        <v>399</v>
      </c>
      <c r="D116" s="2" t="s">
        <v>25</v>
      </c>
      <c r="E116" s="2" t="s">
        <v>400</v>
      </c>
      <c r="F116" s="2" t="s">
        <v>716</v>
      </c>
      <c r="G116" s="2" t="s">
        <v>717</v>
      </c>
      <c r="H116" s="2" t="s">
        <v>718</v>
      </c>
      <c r="I116" s="2" t="s">
        <v>240</v>
      </c>
      <c r="J116" s="3" t="str">
        <f>HYPERLINK("https://stiften.dk/debat/det-er-ikke-en-grundlovssikret-ret-at-man-som-20-aarig-kan-faa-en-lejlighed-i-aarhus", "Læs artikel")</f>
        <v>Læs artikel</v>
      </c>
      <c r="K116" s="2" t="s">
        <v>31</v>
      </c>
      <c r="L116" s="2" t="s">
        <v>32</v>
      </c>
      <c r="M116" s="2" t="s">
        <v>33</v>
      </c>
      <c r="N116" s="2" t="s">
        <v>719</v>
      </c>
      <c r="O116" s="2" t="s">
        <v>242</v>
      </c>
      <c r="P116" s="2" t="s">
        <v>150</v>
      </c>
      <c r="Q116" s="2"/>
      <c r="R116" s="2">
        <v>59.0</v>
      </c>
      <c r="S116" s="2" t="s">
        <v>105</v>
      </c>
      <c r="T116" s="2"/>
      <c r="U116" s="2"/>
      <c r="V116" s="2"/>
    </row>
    <row r="117">
      <c r="A117" s="2" t="s">
        <v>720</v>
      </c>
      <c r="B117" s="2" t="s">
        <v>721</v>
      </c>
      <c r="C117" s="2" t="s">
        <v>399</v>
      </c>
      <c r="D117" s="2" t="s">
        <v>25</v>
      </c>
      <c r="E117" s="2" t="s">
        <v>400</v>
      </c>
      <c r="F117" s="2" t="s">
        <v>722</v>
      </c>
      <c r="G117" s="2" t="s">
        <v>723</v>
      </c>
      <c r="H117" s="2" t="s">
        <v>724</v>
      </c>
      <c r="I117" s="2" t="s">
        <v>240</v>
      </c>
      <c r="J117" s="3" t="str">
        <f>HYPERLINK("https://stiften.dk/debat/inger-har-omsider-faaet-sin-vej-men-det-er-den-forkerte-vej", "Læs artikel")</f>
        <v>Læs artikel</v>
      </c>
      <c r="K117" s="2" t="s">
        <v>31</v>
      </c>
      <c r="L117" s="2" t="s">
        <v>32</v>
      </c>
      <c r="M117" s="2" t="s">
        <v>33</v>
      </c>
      <c r="N117" s="2" t="s">
        <v>725</v>
      </c>
      <c r="O117" s="2" t="s">
        <v>242</v>
      </c>
      <c r="P117" s="2" t="s">
        <v>133</v>
      </c>
      <c r="Q117" s="2"/>
      <c r="R117" s="2">
        <v>22.0</v>
      </c>
      <c r="S117" s="2" t="s">
        <v>119</v>
      </c>
      <c r="T117" s="2"/>
      <c r="U117" s="2"/>
      <c r="V117" s="2"/>
    </row>
    <row r="118">
      <c r="A118" s="2" t="s">
        <v>726</v>
      </c>
      <c r="B118" s="2" t="s">
        <v>727</v>
      </c>
      <c r="C118" s="2" t="s">
        <v>415</v>
      </c>
      <c r="D118" s="2" t="s">
        <v>123</v>
      </c>
      <c r="E118" s="2"/>
      <c r="F118" s="2" t="s">
        <v>728</v>
      </c>
      <c r="G118" s="2" t="s">
        <v>729</v>
      </c>
      <c r="H118" s="2"/>
      <c r="I118" s="2" t="s">
        <v>125</v>
      </c>
      <c r="J118" s="3" t="str">
        <f>HYPERLINK("https://www.berlingske.dk/kommentatorer/socialdemokratiet-bebudede-et-opgoer-med-koensopdelt-svoemning-var-det-bare-bluff", "Læs artikel")</f>
        <v>Læs artikel</v>
      </c>
      <c r="K118" s="2" t="s">
        <v>31</v>
      </c>
      <c r="L118" s="2" t="s">
        <v>32</v>
      </c>
      <c r="M118" s="2" t="s">
        <v>33</v>
      </c>
      <c r="N118" s="2" t="s">
        <v>730</v>
      </c>
      <c r="O118" s="2" t="s">
        <v>128</v>
      </c>
      <c r="P118" s="2" t="s">
        <v>731</v>
      </c>
      <c r="Q118" s="2" t="s">
        <v>732</v>
      </c>
      <c r="R118" s="2">
        <v>83.0</v>
      </c>
      <c r="S118" s="2" t="s">
        <v>733</v>
      </c>
      <c r="T118" s="2"/>
      <c r="U118" s="2"/>
      <c r="V118" s="2"/>
    </row>
    <row r="119">
      <c r="A119" s="2" t="s">
        <v>734</v>
      </c>
      <c r="B119" s="2" t="s">
        <v>735</v>
      </c>
      <c r="C119" s="2" t="s">
        <v>415</v>
      </c>
      <c r="D119" s="2" t="s">
        <v>123</v>
      </c>
      <c r="E119" s="2"/>
      <c r="F119" s="2" t="s">
        <v>736</v>
      </c>
      <c r="G119" s="2" t="s">
        <v>737</v>
      </c>
      <c r="H119" s="2"/>
      <c r="I119" s="2" t="s">
        <v>30</v>
      </c>
      <c r="J119" s="3" t="str">
        <f>HYPERLINK("https://www.berlingske.dk/synspunkter/kina-er-den-store-trussel-mod-europa", "Læs artikel")</f>
        <v>Læs artikel</v>
      </c>
      <c r="K119" s="2" t="s">
        <v>31</v>
      </c>
      <c r="L119" s="2" t="s">
        <v>32</v>
      </c>
      <c r="M119" s="2" t="s">
        <v>33</v>
      </c>
      <c r="N119" s="2" t="s">
        <v>738</v>
      </c>
      <c r="O119" s="2" t="s">
        <v>35</v>
      </c>
      <c r="P119" s="2" t="s">
        <v>739</v>
      </c>
      <c r="Q119" s="2"/>
      <c r="R119" s="2">
        <v>20.0</v>
      </c>
      <c r="S119" s="2" t="s">
        <v>97</v>
      </c>
      <c r="T119" s="2" t="s">
        <v>740</v>
      </c>
      <c r="U119" s="2"/>
      <c r="V119" s="2"/>
    </row>
    <row r="120">
      <c r="A120" s="2" t="s">
        <v>741</v>
      </c>
      <c r="B120" s="2" t="s">
        <v>742</v>
      </c>
      <c r="C120" s="2" t="s">
        <v>415</v>
      </c>
      <c r="D120" s="2" t="s">
        <v>123</v>
      </c>
      <c r="E120" s="2"/>
      <c r="F120" s="2" t="s">
        <v>743</v>
      </c>
      <c r="G120" s="2" t="s">
        <v>744</v>
      </c>
      <c r="H120" s="2"/>
      <c r="I120" s="2" t="s">
        <v>30</v>
      </c>
      <c r="J120" s="3" t="str">
        <f>HYPERLINK("https://www.berlingske.dk/synspunkter/vicedirektoer-svarer-dansk-industri-ansvaret-for-emballage-skal-ikke-ende-hos-faellesskabet", "Læs artikel")</f>
        <v>Læs artikel</v>
      </c>
      <c r="K120" s="2" t="s">
        <v>31</v>
      </c>
      <c r="L120" s="2" t="s">
        <v>32</v>
      </c>
      <c r="M120" s="2" t="s">
        <v>33</v>
      </c>
      <c r="N120" s="2" t="s">
        <v>745</v>
      </c>
      <c r="O120" s="2" t="s">
        <v>35</v>
      </c>
      <c r="P120" s="2" t="s">
        <v>387</v>
      </c>
      <c r="Q120" s="2"/>
      <c r="R120" s="2">
        <v>10.0</v>
      </c>
      <c r="S120" s="2" t="s">
        <v>134</v>
      </c>
      <c r="T120" s="2"/>
      <c r="U120" s="2"/>
      <c r="V120" s="2"/>
    </row>
    <row r="121">
      <c r="A121" s="2" t="s">
        <v>746</v>
      </c>
      <c r="B121" s="2" t="s">
        <v>747</v>
      </c>
      <c r="C121" s="2" t="s">
        <v>527</v>
      </c>
      <c r="D121" s="2" t="s">
        <v>123</v>
      </c>
      <c r="E121" s="2"/>
      <c r="F121" s="2" t="s">
        <v>748</v>
      </c>
      <c r="G121" s="2" t="s">
        <v>749</v>
      </c>
      <c r="H121" s="2" t="s">
        <v>750</v>
      </c>
      <c r="I121" s="2" t="s">
        <v>30</v>
      </c>
      <c r="J121" s="3" t="str">
        <f>HYPERLINK("https://www.kristeligt-dagblad.dk/debat/soerine-gotfredsen-kritikken-af-berlingske-afsloerer-en-angst-det-klare-staasted", "Læs artikel")</f>
        <v>Læs artikel</v>
      </c>
      <c r="K121" s="2" t="s">
        <v>31</v>
      </c>
      <c r="L121" s="2" t="s">
        <v>32</v>
      </c>
      <c r="M121" s="2" t="s">
        <v>33</v>
      </c>
      <c r="N121" s="2" t="s">
        <v>751</v>
      </c>
      <c r="O121" s="2" t="s">
        <v>35</v>
      </c>
      <c r="P121" s="2"/>
      <c r="Q121" s="2"/>
      <c r="R121" s="2">
        <v>8.0</v>
      </c>
      <c r="S121" s="2" t="s">
        <v>145</v>
      </c>
      <c r="T121" s="2"/>
      <c r="U121" s="2"/>
      <c r="V121" s="2"/>
    </row>
    <row r="122">
      <c r="A122" s="2" t="s">
        <v>752</v>
      </c>
      <c r="B122" s="2" t="s">
        <v>753</v>
      </c>
      <c r="C122" s="2" t="s">
        <v>415</v>
      </c>
      <c r="D122" s="2" t="s">
        <v>123</v>
      </c>
      <c r="E122" s="2"/>
      <c r="F122" s="2" t="s">
        <v>754</v>
      </c>
      <c r="G122" s="2" t="s">
        <v>755</v>
      </c>
      <c r="H122" s="2"/>
      <c r="I122" s="2" t="s">
        <v>30</v>
      </c>
      <c r="J122" s="3" t="str">
        <f>HYPERLINK("https://www.berlingske.dk/synspunkter/rasmus-stoklund-udvisning-af-kriminelle-udlaendinge-er-ikke-umenneskeligt", "Læs artikel")</f>
        <v>Læs artikel</v>
      </c>
      <c r="K122" s="2" t="s">
        <v>31</v>
      </c>
      <c r="L122" s="2" t="s">
        <v>32</v>
      </c>
      <c r="M122" s="2" t="s">
        <v>33</v>
      </c>
      <c r="N122" s="2" t="s">
        <v>756</v>
      </c>
      <c r="O122" s="2" t="s">
        <v>35</v>
      </c>
      <c r="P122" s="2" t="s">
        <v>757</v>
      </c>
      <c r="Q122" s="2"/>
      <c r="R122" s="2">
        <v>48.0</v>
      </c>
      <c r="S122" s="2" t="s">
        <v>758</v>
      </c>
      <c r="T122" s="2" t="s">
        <v>759</v>
      </c>
      <c r="U122" s="2"/>
      <c r="V122" s="2"/>
    </row>
    <row r="123">
      <c r="A123" s="2" t="s">
        <v>760</v>
      </c>
      <c r="B123" s="2" t="s">
        <v>761</v>
      </c>
      <c r="C123" s="2" t="s">
        <v>527</v>
      </c>
      <c r="D123" s="2" t="s">
        <v>123</v>
      </c>
      <c r="E123" s="2"/>
      <c r="F123" s="2" t="s">
        <v>762</v>
      </c>
      <c r="G123" s="2" t="s">
        <v>763</v>
      </c>
      <c r="H123" s="2" t="s">
        <v>764</v>
      </c>
      <c r="I123" s="2" t="s">
        <v>125</v>
      </c>
      <c r="J123" s="3" t="str">
        <f>HYPERLINK("https://www.kristeligt-dagblad.dk/debat/formand-foreningen-af-menighedsraad-biskoppernes-bud-paa-nye-stiftsgraenser-er-ikke", "Læs artikel")</f>
        <v>Læs artikel</v>
      </c>
      <c r="K123" s="2" t="s">
        <v>31</v>
      </c>
      <c r="L123" s="2" t="s">
        <v>32</v>
      </c>
      <c r="M123" s="2" t="s">
        <v>33</v>
      </c>
      <c r="N123" s="2" t="s">
        <v>765</v>
      </c>
      <c r="O123" s="2" t="s">
        <v>128</v>
      </c>
      <c r="P123" s="2"/>
      <c r="Q123" s="2"/>
      <c r="R123" s="2">
        <v>0.0</v>
      </c>
      <c r="S123" s="2"/>
      <c r="T123" s="2"/>
      <c r="U123" s="2"/>
      <c r="V123" s="2"/>
    </row>
    <row r="124">
      <c r="A124" s="2" t="s">
        <v>766</v>
      </c>
      <c r="B124" s="2" t="s">
        <v>767</v>
      </c>
      <c r="C124" s="2" t="s">
        <v>415</v>
      </c>
      <c r="D124" s="2" t="s">
        <v>123</v>
      </c>
      <c r="E124" s="2"/>
      <c r="F124" s="2" t="s">
        <v>768</v>
      </c>
      <c r="G124" s="2" t="s">
        <v>769</v>
      </c>
      <c r="H124" s="2"/>
      <c r="I124" s="2" t="s">
        <v>125</v>
      </c>
      <c r="J124" s="3" t="str">
        <f>HYPERLINK("https://www.berlingske.dk/kommentatorer/jarl-cordua-det-er-som-om-en-del-af-det-blaa-vaelgerkorps-aldrig-har-haft-samfundsfag-i-skolen", "Læs artikel")</f>
        <v>Læs artikel</v>
      </c>
      <c r="K124" s="2" t="s">
        <v>31</v>
      </c>
      <c r="L124" s="2" t="s">
        <v>32</v>
      </c>
      <c r="M124" s="2" t="s">
        <v>33</v>
      </c>
      <c r="N124" s="2" t="s">
        <v>770</v>
      </c>
      <c r="O124" s="2" t="s">
        <v>128</v>
      </c>
      <c r="P124" s="2" t="s">
        <v>771</v>
      </c>
      <c r="Q124" s="2"/>
      <c r="R124" s="2">
        <v>42.0</v>
      </c>
      <c r="S124" s="2" t="s">
        <v>151</v>
      </c>
      <c r="T124" s="2"/>
      <c r="U124" s="2"/>
      <c r="V124" s="2"/>
    </row>
    <row r="125">
      <c r="A125" s="2" t="s">
        <v>772</v>
      </c>
      <c r="B125" s="2" t="s">
        <v>773</v>
      </c>
      <c r="C125" s="2" t="s">
        <v>415</v>
      </c>
      <c r="D125" s="2" t="s">
        <v>123</v>
      </c>
      <c r="E125" s="2"/>
      <c r="F125" s="2" t="s">
        <v>774</v>
      </c>
      <c r="G125" s="2" t="s">
        <v>775</v>
      </c>
      <c r="H125" s="2"/>
      <c r="I125" s="2" t="s">
        <v>395</v>
      </c>
      <c r="J125" s="3" t="str">
        <f>HYPERLINK("https://www.berlingske.dk/ledere/berlingske-mener-maaske-er-tiden-kommet-til-at-indfoere-stoejkupeen", "Læs artikel")</f>
        <v>Læs artikel</v>
      </c>
      <c r="K125" s="2" t="s">
        <v>31</v>
      </c>
      <c r="L125" s="2" t="s">
        <v>32</v>
      </c>
      <c r="M125" s="2" t="s">
        <v>33</v>
      </c>
      <c r="N125" s="2" t="s">
        <v>776</v>
      </c>
      <c r="O125" s="2"/>
      <c r="P125" s="2" t="s">
        <v>133</v>
      </c>
      <c r="Q125" s="2"/>
      <c r="R125" s="2">
        <v>10.0</v>
      </c>
      <c r="S125" s="2" t="s">
        <v>134</v>
      </c>
      <c r="T125" s="2"/>
      <c r="U125" s="2"/>
      <c r="V125" s="2"/>
    </row>
    <row r="126">
      <c r="A126" s="2" t="s">
        <v>777</v>
      </c>
      <c r="B126" s="2" t="s">
        <v>778</v>
      </c>
      <c r="C126" s="2" t="s">
        <v>399</v>
      </c>
      <c r="D126" s="2" t="s">
        <v>25</v>
      </c>
      <c r="E126" s="2" t="s">
        <v>400</v>
      </c>
      <c r="F126" s="2" t="s">
        <v>779</v>
      </c>
      <c r="G126" s="2" t="s">
        <v>780</v>
      </c>
      <c r="H126" s="2" t="s">
        <v>781</v>
      </c>
      <c r="I126" s="2" t="s">
        <v>240</v>
      </c>
      <c r="J126" s="3" t="str">
        <f>HYPERLINK("https://stiften.dk/debat/tillykke-aarhus-sportssuccesen-startede-en-regnfuld-tirsdag-eftermiddag", "Læs artikel")</f>
        <v>Læs artikel</v>
      </c>
      <c r="K126" s="2" t="s">
        <v>31</v>
      </c>
      <c r="L126" s="2" t="s">
        <v>32</v>
      </c>
      <c r="M126" s="2" t="s">
        <v>33</v>
      </c>
      <c r="N126" s="2" t="s">
        <v>782</v>
      </c>
      <c r="O126" s="2" t="s">
        <v>242</v>
      </c>
      <c r="P126" s="2"/>
      <c r="Q126" s="2"/>
      <c r="R126" s="2">
        <v>0.0</v>
      </c>
      <c r="S126" s="2"/>
      <c r="T126" s="2"/>
      <c r="U126" s="2"/>
      <c r="V126" s="2"/>
    </row>
    <row r="127">
      <c r="A127" s="2" t="s">
        <v>783</v>
      </c>
      <c r="B127" s="2" t="s">
        <v>784</v>
      </c>
      <c r="C127" s="2" t="s">
        <v>407</v>
      </c>
      <c r="D127" s="2" t="s">
        <v>25</v>
      </c>
      <c r="E127" s="2" t="s">
        <v>408</v>
      </c>
      <c r="F127" s="2" t="s">
        <v>785</v>
      </c>
      <c r="G127" s="2" t="s">
        <v>452</v>
      </c>
      <c r="H127" s="2" t="s">
        <v>786</v>
      </c>
      <c r="I127" s="2" t="s">
        <v>30</v>
      </c>
      <c r="J127" s="3" t="str">
        <f>HYPERLINK("https://nordjyske.dk/nyheder/nordjylland/beboer-efter-karnevalet-folkefest-maa-ikke-ske-paa-naboernes-bekostning/6051550", "Læs artikel")</f>
        <v>Læs artikel</v>
      </c>
      <c r="K127" s="2" t="s">
        <v>31</v>
      </c>
      <c r="L127" s="2" t="s">
        <v>32</v>
      </c>
      <c r="M127" s="2" t="s">
        <v>33</v>
      </c>
      <c r="N127" s="2" t="s">
        <v>787</v>
      </c>
      <c r="O127" s="2" t="s">
        <v>35</v>
      </c>
      <c r="P127" s="2"/>
      <c r="Q127" s="2"/>
      <c r="R127" s="2">
        <v>0.0</v>
      </c>
      <c r="S127" s="2"/>
      <c r="T127" s="2"/>
      <c r="U127" s="2"/>
      <c r="V127" s="2"/>
    </row>
    <row r="128">
      <c r="A128" s="2" t="s">
        <v>788</v>
      </c>
      <c r="B128" s="2" t="s">
        <v>789</v>
      </c>
      <c r="C128" s="2" t="s">
        <v>407</v>
      </c>
      <c r="D128" s="2" t="s">
        <v>25</v>
      </c>
      <c r="E128" s="2" t="s">
        <v>408</v>
      </c>
      <c r="F128" s="2" t="s">
        <v>790</v>
      </c>
      <c r="G128" s="2" t="s">
        <v>791</v>
      </c>
      <c r="H128" s="2" t="s">
        <v>792</v>
      </c>
      <c r="I128" s="2" t="s">
        <v>30</v>
      </c>
      <c r="J128" s="3" t="str">
        <f>HYPERLINK("https://nordjyske.dk/nyheder/nordjylland/aabent-brev-til-byraadet-stop-op-foer-beslutningen-om-ny-varmestue-i-aalborg/6051415", "Læs artikel")</f>
        <v>Læs artikel</v>
      </c>
      <c r="K128" s="2" t="s">
        <v>31</v>
      </c>
      <c r="L128" s="2" t="s">
        <v>32</v>
      </c>
      <c r="M128" s="2" t="s">
        <v>33</v>
      </c>
      <c r="N128" s="2" t="s">
        <v>793</v>
      </c>
      <c r="O128" s="2" t="s">
        <v>35</v>
      </c>
      <c r="P128" s="2" t="s">
        <v>794</v>
      </c>
      <c r="Q128" s="2" t="s">
        <v>713</v>
      </c>
      <c r="R128" s="2">
        <v>50.0</v>
      </c>
      <c r="S128" s="2" t="s">
        <v>795</v>
      </c>
      <c r="T128" s="2"/>
      <c r="U128" s="2"/>
      <c r="V128" s="2"/>
    </row>
    <row r="129">
      <c r="A129" s="2" t="s">
        <v>796</v>
      </c>
      <c r="B129" s="2" t="s">
        <v>797</v>
      </c>
      <c r="C129" s="2" t="s">
        <v>407</v>
      </c>
      <c r="D129" s="2" t="s">
        <v>25</v>
      </c>
      <c r="E129" s="2" t="s">
        <v>408</v>
      </c>
      <c r="F129" s="2" t="s">
        <v>798</v>
      </c>
      <c r="G129" s="2" t="s">
        <v>452</v>
      </c>
      <c r="H129" s="2" t="s">
        <v>799</v>
      </c>
      <c r="I129" s="2" t="s">
        <v>30</v>
      </c>
      <c r="J129" s="3" t="str">
        <f>HYPERLINK("https://nordjyske.dk/nyheder/nordjylland/stroem-til-nordjylland-boer-vaere-en-klar-prioritet-for-alle/6051689", "Læs artikel")</f>
        <v>Læs artikel</v>
      </c>
      <c r="K129" s="2" t="s">
        <v>31</v>
      </c>
      <c r="L129" s="2" t="s">
        <v>32</v>
      </c>
      <c r="M129" s="2" t="s">
        <v>33</v>
      </c>
      <c r="N129" s="2" t="s">
        <v>800</v>
      </c>
      <c r="O129" s="2" t="s">
        <v>35</v>
      </c>
      <c r="P129" s="2" t="s">
        <v>801</v>
      </c>
      <c r="Q129" s="2" t="s">
        <v>713</v>
      </c>
      <c r="R129" s="2">
        <v>0.0</v>
      </c>
      <c r="S129" s="2"/>
      <c r="T129" s="2"/>
      <c r="U129" s="2"/>
      <c r="V129" s="2"/>
    </row>
    <row r="130">
      <c r="A130" s="2" t="s">
        <v>802</v>
      </c>
      <c r="B130" s="2" t="s">
        <v>803</v>
      </c>
      <c r="C130" s="2" t="s">
        <v>122</v>
      </c>
      <c r="D130" s="2" t="s">
        <v>123</v>
      </c>
      <c r="E130" s="2"/>
      <c r="F130" s="2" t="s">
        <v>804</v>
      </c>
      <c r="G130" s="2"/>
      <c r="H130" s="2"/>
      <c r="I130" s="2" t="s">
        <v>30</v>
      </c>
      <c r="J130" s="3" t="str">
        <f>HYPERLINK("https://www.altinget.dk/artikel/professor-svarer-igen-morten-kromann-har-misforstaaet-hvad-retspolitik-er", "Læs artikel")</f>
        <v>Læs artikel</v>
      </c>
      <c r="K130" s="2" t="s">
        <v>31</v>
      </c>
      <c r="L130" s="2" t="s">
        <v>32</v>
      </c>
      <c r="M130" s="2" t="s">
        <v>33</v>
      </c>
      <c r="N130" s="2" t="s">
        <v>805</v>
      </c>
      <c r="O130" s="2" t="s">
        <v>35</v>
      </c>
      <c r="P130" s="2" t="s">
        <v>104</v>
      </c>
      <c r="Q130" s="2"/>
      <c r="R130" s="2">
        <v>42.0</v>
      </c>
      <c r="S130" s="2" t="s">
        <v>151</v>
      </c>
      <c r="T130" s="2"/>
      <c r="U130" s="2"/>
      <c r="V130" s="2"/>
    </row>
    <row r="131">
      <c r="A131" s="2" t="s">
        <v>806</v>
      </c>
      <c r="B131" s="2" t="s">
        <v>803</v>
      </c>
      <c r="C131" s="2" t="s">
        <v>122</v>
      </c>
      <c r="D131" s="2" t="s">
        <v>123</v>
      </c>
      <c r="E131" s="2"/>
      <c r="F131" s="2" t="s">
        <v>807</v>
      </c>
      <c r="G131" s="2"/>
      <c r="H131" s="2"/>
      <c r="I131" s="2" t="s">
        <v>30</v>
      </c>
      <c r="J131" s="3" t="str">
        <f>HYPERLINK("https://www.altinget.dk/artikel/sikandar-siddique-debatten-om-negativ-social-kontrol-mangler-et-afgoerende-spoergsmaal", "Læs artikel")</f>
        <v>Læs artikel</v>
      </c>
      <c r="K131" s="2" t="s">
        <v>31</v>
      </c>
      <c r="L131" s="2" t="s">
        <v>32</v>
      </c>
      <c r="M131" s="2" t="s">
        <v>33</v>
      </c>
      <c r="N131" s="2" t="s">
        <v>808</v>
      </c>
      <c r="O131" s="2" t="s">
        <v>35</v>
      </c>
      <c r="P131" s="2" t="s">
        <v>118</v>
      </c>
      <c r="Q131" s="2"/>
      <c r="R131" s="2">
        <v>36.0</v>
      </c>
      <c r="S131" s="2" t="s">
        <v>809</v>
      </c>
      <c r="T131" s="2"/>
      <c r="U131" s="2"/>
      <c r="V131" s="2"/>
    </row>
    <row r="132">
      <c r="A132" s="2" t="s">
        <v>810</v>
      </c>
      <c r="B132" s="2" t="s">
        <v>803</v>
      </c>
      <c r="C132" s="2" t="s">
        <v>122</v>
      </c>
      <c r="D132" s="2" t="s">
        <v>123</v>
      </c>
      <c r="E132" s="2"/>
      <c r="F132" s="2" t="s">
        <v>811</v>
      </c>
      <c r="G132" s="2"/>
      <c r="H132" s="2"/>
      <c r="I132" s="2" t="s">
        <v>125</v>
      </c>
      <c r="J132" s="3" t="str">
        <f>HYPERLINK("https://www.altinget.dk/artikel/du-finder-ikke-et-eneste-liberalt-parti-paa-christiansborg", "Læs artikel")</f>
        <v>Læs artikel</v>
      </c>
      <c r="K132" s="2" t="s">
        <v>31</v>
      </c>
      <c r="L132" s="2" t="s">
        <v>32</v>
      </c>
      <c r="M132" s="2" t="s">
        <v>33</v>
      </c>
      <c r="N132" s="2" t="s">
        <v>812</v>
      </c>
      <c r="O132" s="2" t="s">
        <v>128</v>
      </c>
      <c r="P132" s="2" t="s">
        <v>133</v>
      </c>
      <c r="Q132" s="2"/>
      <c r="R132" s="2">
        <v>28.0</v>
      </c>
      <c r="S132" s="2" t="s">
        <v>813</v>
      </c>
      <c r="T132" s="2"/>
      <c r="U132" s="2"/>
      <c r="V132" s="2"/>
    </row>
    <row r="133">
      <c r="A133" s="2" t="s">
        <v>814</v>
      </c>
      <c r="B133" s="2" t="s">
        <v>803</v>
      </c>
      <c r="C133" s="2" t="s">
        <v>122</v>
      </c>
      <c r="D133" s="2" t="s">
        <v>123</v>
      </c>
      <c r="E133" s="2"/>
      <c r="F133" s="2" t="s">
        <v>815</v>
      </c>
      <c r="G133" s="2"/>
      <c r="H133" s="2"/>
      <c r="I133" s="2" t="s">
        <v>163</v>
      </c>
      <c r="J133" s="3" t="str">
        <f>HYPERLINK("https://www.altinget.dk/artikel/imran-rashid-brinkmann-har-ret-i-kritikken-af-skaermpanik-men-undervurderer-de-digitale-miljoeers-magt", "Læs artikel")</f>
        <v>Læs artikel</v>
      </c>
      <c r="K133" s="2" t="s">
        <v>31</v>
      </c>
      <c r="L133" s="2" t="s">
        <v>32</v>
      </c>
      <c r="M133" s="2" t="s">
        <v>33</v>
      </c>
      <c r="N133" s="2" t="s">
        <v>816</v>
      </c>
      <c r="O133" s="2" t="s">
        <v>165</v>
      </c>
      <c r="P133" s="2" t="s">
        <v>817</v>
      </c>
      <c r="Q133" s="2" t="s">
        <v>171</v>
      </c>
      <c r="R133" s="2">
        <v>20.0</v>
      </c>
      <c r="S133" s="2" t="s">
        <v>97</v>
      </c>
      <c r="T133" s="2" t="s">
        <v>818</v>
      </c>
      <c r="U133" s="2"/>
      <c r="V133" s="2"/>
    </row>
    <row r="134">
      <c r="A134" s="2" t="s">
        <v>819</v>
      </c>
      <c r="B134" s="2" t="s">
        <v>820</v>
      </c>
      <c r="C134" s="2" t="s">
        <v>399</v>
      </c>
      <c r="D134" s="2" t="s">
        <v>25</v>
      </c>
      <c r="E134" s="2" t="s">
        <v>400</v>
      </c>
      <c r="F134" s="2" t="s">
        <v>821</v>
      </c>
      <c r="G134" s="2" t="s">
        <v>822</v>
      </c>
      <c r="H134" s="2" t="s">
        <v>823</v>
      </c>
      <c r="I134" s="2" t="s">
        <v>163</v>
      </c>
      <c r="J134" s="3" t="str">
        <f>HYPERLINK("https://stiften.dk/debat/naar-aarhus-vokser-maa-hverdagen-ikke-gaa-i-staa-irritation-er-en-daarlig-klimapolitik", "Læs artikel")</f>
        <v>Læs artikel</v>
      </c>
      <c r="K134" s="2" t="s">
        <v>31</v>
      </c>
      <c r="L134" s="2" t="s">
        <v>32</v>
      </c>
      <c r="M134" s="2" t="s">
        <v>33</v>
      </c>
      <c r="N134" s="2" t="s">
        <v>824</v>
      </c>
      <c r="O134" s="2" t="s">
        <v>165</v>
      </c>
      <c r="P134" s="2" t="s">
        <v>825</v>
      </c>
      <c r="Q134" s="2"/>
      <c r="R134" s="2">
        <v>72.0</v>
      </c>
      <c r="S134" s="2" t="s">
        <v>826</v>
      </c>
      <c r="T134" s="2"/>
      <c r="U134" s="2"/>
      <c r="V134" s="2"/>
    </row>
    <row r="135">
      <c r="A135" s="2" t="s">
        <v>827</v>
      </c>
      <c r="B135" s="2" t="s">
        <v>828</v>
      </c>
      <c r="C135" s="2" t="s">
        <v>415</v>
      </c>
      <c r="D135" s="2" t="s">
        <v>123</v>
      </c>
      <c r="E135" s="2"/>
      <c r="F135" s="2" t="s">
        <v>829</v>
      </c>
      <c r="G135" s="2" t="s">
        <v>830</v>
      </c>
      <c r="H135" s="2"/>
      <c r="I135" s="2" t="s">
        <v>125</v>
      </c>
      <c r="J135" s="3" t="str">
        <f>HYPERLINK("https://www.berlingske.dk/kommentatorer/det-er-for-nemt-at-sige-at-alle-politiske-problemer-stroemmer-fra-yderfloejene-for-midten-har-ogsaa-gjort-sit", "Læs artikel")</f>
        <v>Læs artikel</v>
      </c>
      <c r="K135" s="2" t="s">
        <v>31</v>
      </c>
      <c r="L135" s="2" t="s">
        <v>32</v>
      </c>
      <c r="M135" s="2" t="s">
        <v>33</v>
      </c>
      <c r="N135" s="2" t="s">
        <v>831</v>
      </c>
      <c r="O135" s="2" t="s">
        <v>128</v>
      </c>
      <c r="P135" s="2" t="s">
        <v>104</v>
      </c>
      <c r="Q135" s="2" t="s">
        <v>832</v>
      </c>
      <c r="R135" s="2">
        <v>70.0</v>
      </c>
      <c r="S135" s="2" t="s">
        <v>733</v>
      </c>
      <c r="T135" s="2"/>
      <c r="U135" s="2"/>
      <c r="V135" s="2"/>
    </row>
    <row r="136">
      <c r="A136" s="2" t="s">
        <v>833</v>
      </c>
      <c r="B136" s="2" t="s">
        <v>834</v>
      </c>
      <c r="C136" s="2" t="s">
        <v>415</v>
      </c>
      <c r="D136" s="2" t="s">
        <v>123</v>
      </c>
      <c r="E136" s="2"/>
      <c r="F136" s="2" t="s">
        <v>835</v>
      </c>
      <c r="G136" s="2"/>
      <c r="H136" s="2"/>
      <c r="I136" s="2" t="s">
        <v>30</v>
      </c>
      <c r="J136" s="3" t="str">
        <f>HYPERLINK("https://www.berlingske.dk/laesere/en-ny-regering-skal-tage-fat-om-roden-paa-bureaukratiet-og-gaa-forrest", "Læs artikel")</f>
        <v>Læs artikel</v>
      </c>
      <c r="K136" s="2" t="s">
        <v>31</v>
      </c>
      <c r="L136" s="2" t="s">
        <v>32</v>
      </c>
      <c r="M136" s="2" t="s">
        <v>33</v>
      </c>
      <c r="N136" s="2" t="s">
        <v>836</v>
      </c>
      <c r="O136" s="2" t="s">
        <v>35</v>
      </c>
      <c r="P136" s="2" t="s">
        <v>133</v>
      </c>
      <c r="Q136" s="2"/>
      <c r="R136" s="2">
        <v>28.0</v>
      </c>
      <c r="S136" s="2" t="s">
        <v>374</v>
      </c>
      <c r="T136" s="2"/>
      <c r="U136" s="2"/>
      <c r="V136" s="2"/>
    </row>
    <row r="137">
      <c r="A137" s="2" t="s">
        <v>837</v>
      </c>
      <c r="B137" s="2" t="s">
        <v>838</v>
      </c>
      <c r="C137" s="2" t="s">
        <v>415</v>
      </c>
      <c r="D137" s="2" t="s">
        <v>123</v>
      </c>
      <c r="E137" s="2"/>
      <c r="F137" s="2" t="s">
        <v>839</v>
      </c>
      <c r="G137" s="2" t="s">
        <v>840</v>
      </c>
      <c r="H137" s="2"/>
      <c r="I137" s="2" t="s">
        <v>163</v>
      </c>
      <c r="J137" s="3" t="str">
        <f>HYPERLINK("https://www.berlingske.dk/kronikker/13-procent-af-voksne-danskere-lever-med-sygdommen--og-det-kan-ramme-de-erhverv-som-skriger-paa-arbejdskraft", "Læs artikel")</f>
        <v>Læs artikel</v>
      </c>
      <c r="K137" s="2" t="s">
        <v>31</v>
      </c>
      <c r="L137" s="2" t="s">
        <v>32</v>
      </c>
      <c r="M137" s="2" t="s">
        <v>33</v>
      </c>
      <c r="N137" s="2" t="s">
        <v>841</v>
      </c>
      <c r="O137" s="2" t="s">
        <v>165</v>
      </c>
      <c r="P137" s="2" t="s">
        <v>842</v>
      </c>
      <c r="Q137" s="2"/>
      <c r="R137" s="2">
        <v>30.0</v>
      </c>
      <c r="S137" s="2" t="s">
        <v>97</v>
      </c>
      <c r="T137" s="2"/>
      <c r="U137" s="2"/>
      <c r="V137" s="2"/>
    </row>
    <row r="138">
      <c r="A138" s="2" t="s">
        <v>843</v>
      </c>
      <c r="B138" s="2" t="s">
        <v>844</v>
      </c>
      <c r="C138" s="2" t="s">
        <v>391</v>
      </c>
      <c r="D138" s="2" t="s">
        <v>25</v>
      </c>
      <c r="E138" s="2" t="s">
        <v>392</v>
      </c>
      <c r="F138" s="2" t="s">
        <v>845</v>
      </c>
      <c r="G138" s="2" t="s">
        <v>846</v>
      </c>
      <c r="H138" s="2"/>
      <c r="I138" s="2" t="s">
        <v>234</v>
      </c>
      <c r="J138" s="3" t="str">
        <f>HYPERLINK("https://fyens.dk/debat/plask-nu-kunne-vejles-laere-at-svoemme-i-rent-vand-i-stedet-for-det-grumsede-havne-vand", "Læs artikel")</f>
        <v>Læs artikel</v>
      </c>
      <c r="K138" s="2" t="s">
        <v>31</v>
      </c>
      <c r="L138" s="2" t="s">
        <v>32</v>
      </c>
      <c r="M138" s="2" t="s">
        <v>33</v>
      </c>
      <c r="N138" s="2" t="s">
        <v>847</v>
      </c>
      <c r="O138" s="2"/>
      <c r="P138" s="2"/>
      <c r="Q138" s="2"/>
      <c r="R138" s="2">
        <v>18.0</v>
      </c>
      <c r="S138" s="2" t="s">
        <v>112</v>
      </c>
      <c r="T138" s="2"/>
      <c r="U138" s="2"/>
      <c r="V138" s="2"/>
    </row>
    <row r="139">
      <c r="A139" s="2" t="s">
        <v>848</v>
      </c>
      <c r="B139" s="2" t="s">
        <v>844</v>
      </c>
      <c r="C139" s="2" t="s">
        <v>701</v>
      </c>
      <c r="D139" s="2" t="s">
        <v>25</v>
      </c>
      <c r="E139" s="2" t="s">
        <v>702</v>
      </c>
      <c r="F139" s="2" t="s">
        <v>845</v>
      </c>
      <c r="G139" s="2" t="s">
        <v>846</v>
      </c>
      <c r="H139" s="2"/>
      <c r="I139" s="2" t="s">
        <v>234</v>
      </c>
      <c r="J139" s="3" t="str">
        <f>HYPERLINK("https://jv.dk/debat/plask-nu-kunne-vejles-laere-at-svoemme-i-rent-vand-i-stedet-for-det-grumsede-havne-vand", "Læs artikel")</f>
        <v>Læs artikel</v>
      </c>
      <c r="K139" s="2" t="s">
        <v>31</v>
      </c>
      <c r="L139" s="2" t="s">
        <v>32</v>
      </c>
      <c r="M139" s="2" t="s">
        <v>33</v>
      </c>
      <c r="N139" s="2" t="s">
        <v>849</v>
      </c>
      <c r="O139" s="2"/>
      <c r="P139" s="2"/>
      <c r="Q139" s="2"/>
      <c r="R139" s="2">
        <v>18.0</v>
      </c>
      <c r="S139" s="2" t="s">
        <v>112</v>
      </c>
      <c r="T139" s="2"/>
      <c r="U139" s="2"/>
      <c r="V139" s="2"/>
    </row>
    <row r="140">
      <c r="A140" s="2" t="s">
        <v>850</v>
      </c>
      <c r="B140" s="2" t="s">
        <v>851</v>
      </c>
      <c r="C140" s="2" t="s">
        <v>391</v>
      </c>
      <c r="D140" s="2" t="s">
        <v>25</v>
      </c>
      <c r="E140" s="2" t="s">
        <v>392</v>
      </c>
      <c r="F140" s="2" t="s">
        <v>852</v>
      </c>
      <c r="G140" s="2" t="s">
        <v>853</v>
      </c>
      <c r="H140" s="2" t="s">
        <v>854</v>
      </c>
      <c r="I140" s="2" t="s">
        <v>30</v>
      </c>
      <c r="J140" s="3" t="str">
        <f>HYPERLINK("https://fyens.dk/debat/retssikkerhed-er-ikke-ligegyldigt-bureaukrati", "Læs artikel")</f>
        <v>Læs artikel</v>
      </c>
      <c r="K140" s="2" t="s">
        <v>31</v>
      </c>
      <c r="L140" s="2" t="s">
        <v>32</v>
      </c>
      <c r="M140" s="2" t="s">
        <v>33</v>
      </c>
      <c r="N140" s="2" t="s">
        <v>855</v>
      </c>
      <c r="O140" s="2" t="s">
        <v>35</v>
      </c>
      <c r="P140" s="2" t="s">
        <v>150</v>
      </c>
      <c r="Q140" s="2" t="s">
        <v>856</v>
      </c>
      <c r="R140" s="2">
        <v>95.0</v>
      </c>
      <c r="S140" s="2" t="s">
        <v>857</v>
      </c>
      <c r="T140" s="2" t="s">
        <v>759</v>
      </c>
      <c r="U140" s="2"/>
      <c r="V140" s="2"/>
    </row>
    <row r="141">
      <c r="A141" s="2" t="s">
        <v>858</v>
      </c>
      <c r="B141" s="2" t="s">
        <v>859</v>
      </c>
      <c r="C141" s="2" t="s">
        <v>399</v>
      </c>
      <c r="D141" s="2" t="s">
        <v>25</v>
      </c>
      <c r="E141" s="2" t="s">
        <v>400</v>
      </c>
      <c r="F141" s="2" t="s">
        <v>860</v>
      </c>
      <c r="G141" s="2" t="s">
        <v>861</v>
      </c>
      <c r="H141" s="2"/>
      <c r="I141" s="2" t="s">
        <v>395</v>
      </c>
      <c r="J141" s="3" t="str">
        <f>HYPERLINK("https://stiften.dk/debat/det-er-hyggelige-legekammerater-kamaeleonen-lars-loekke-holder-sig-hans-eftermaele-er-paa-spil", "Læs artikel")</f>
        <v>Læs artikel</v>
      </c>
      <c r="K141" s="2" t="s">
        <v>31</v>
      </c>
      <c r="L141" s="2" t="s">
        <v>32</v>
      </c>
      <c r="M141" s="2" t="s">
        <v>33</v>
      </c>
      <c r="N141" s="2" t="s">
        <v>862</v>
      </c>
      <c r="O141" s="2"/>
      <c r="P141" s="2"/>
      <c r="Q141" s="2" t="s">
        <v>187</v>
      </c>
      <c r="R141" s="2">
        <v>20.0</v>
      </c>
      <c r="S141" s="2" t="s">
        <v>188</v>
      </c>
      <c r="T141" s="2"/>
      <c r="U141" s="2"/>
      <c r="V141" s="2"/>
    </row>
    <row r="142">
      <c r="A142" s="2" t="s">
        <v>863</v>
      </c>
      <c r="B142" s="2" t="s">
        <v>859</v>
      </c>
      <c r="C142" s="2" t="s">
        <v>391</v>
      </c>
      <c r="D142" s="2" t="s">
        <v>25</v>
      </c>
      <c r="E142" s="2" t="s">
        <v>392</v>
      </c>
      <c r="F142" s="2" t="s">
        <v>860</v>
      </c>
      <c r="G142" s="2" t="s">
        <v>861</v>
      </c>
      <c r="H142" s="2"/>
      <c r="I142" s="2" t="s">
        <v>395</v>
      </c>
      <c r="J142" s="3" t="str">
        <f>HYPERLINK("https://fyens.dk/debat/det-er-hyggelige-legekammerater-kamaeleonen-lars-loekke-holder-sig-hans-eftermaele-er-paa-spil", "Læs artikel")</f>
        <v>Læs artikel</v>
      </c>
      <c r="K142" s="2" t="s">
        <v>31</v>
      </c>
      <c r="L142" s="2" t="s">
        <v>32</v>
      </c>
      <c r="M142" s="2" t="s">
        <v>33</v>
      </c>
      <c r="N142" s="2" t="s">
        <v>864</v>
      </c>
      <c r="O142" s="2"/>
      <c r="P142" s="2"/>
      <c r="Q142" s="2" t="s">
        <v>187</v>
      </c>
      <c r="R142" s="2">
        <v>20.0</v>
      </c>
      <c r="S142" s="2" t="s">
        <v>188</v>
      </c>
      <c r="T142" s="2"/>
      <c r="U142" s="2"/>
      <c r="V142" s="2"/>
    </row>
    <row r="143">
      <c r="A143" s="2" t="s">
        <v>865</v>
      </c>
      <c r="B143" s="2" t="s">
        <v>866</v>
      </c>
      <c r="C143" s="2" t="s">
        <v>399</v>
      </c>
      <c r="D143" s="2" t="s">
        <v>25</v>
      </c>
      <c r="E143" s="2" t="s">
        <v>400</v>
      </c>
      <c r="F143" s="2" t="s">
        <v>867</v>
      </c>
      <c r="G143" s="2"/>
      <c r="H143" s="2" t="s">
        <v>868</v>
      </c>
      <c r="I143" s="2" t="s">
        <v>30</v>
      </c>
      <c r="J143" s="3" t="str">
        <f>HYPERLINK("https://stiften.dk/debat/besparelser-paa-handicapomraadet-kan-koste-odder-kommune-dyrt", "Læs artikel")</f>
        <v>Læs artikel</v>
      </c>
      <c r="K143" s="2" t="s">
        <v>31</v>
      </c>
      <c r="L143" s="2" t="s">
        <v>32</v>
      </c>
      <c r="M143" s="2" t="s">
        <v>33</v>
      </c>
      <c r="N143" s="2" t="s">
        <v>869</v>
      </c>
      <c r="O143" s="2" t="s">
        <v>35</v>
      </c>
      <c r="P143" s="2" t="s">
        <v>118</v>
      </c>
      <c r="Q143" s="2"/>
      <c r="R143" s="2">
        <v>40.0</v>
      </c>
      <c r="S143" s="2" t="s">
        <v>575</v>
      </c>
      <c r="T143" s="2"/>
      <c r="U143" s="2"/>
      <c r="V143" s="2"/>
    </row>
    <row r="144">
      <c r="A144" s="2" t="s">
        <v>870</v>
      </c>
      <c r="B144" s="2" t="s">
        <v>871</v>
      </c>
      <c r="C144" s="2" t="s">
        <v>701</v>
      </c>
      <c r="D144" s="2" t="s">
        <v>25</v>
      </c>
      <c r="E144" s="2" t="s">
        <v>702</v>
      </c>
      <c r="F144" s="2" t="s">
        <v>872</v>
      </c>
      <c r="G144" s="2" t="s">
        <v>873</v>
      </c>
      <c r="H144" s="2" t="s">
        <v>874</v>
      </c>
      <c r="I144" s="2" t="s">
        <v>30</v>
      </c>
      <c r="J144" s="3" t="str">
        <f>HYPERLINK("https://jv.dk/debat/samarbejdet-over-graensen-skal-udvikles-i-faellesskab", "Læs artikel")</f>
        <v>Læs artikel</v>
      </c>
      <c r="K144" s="2" t="s">
        <v>31</v>
      </c>
      <c r="L144" s="2" t="s">
        <v>32</v>
      </c>
      <c r="M144" s="2" t="s">
        <v>33</v>
      </c>
      <c r="N144" s="2" t="s">
        <v>875</v>
      </c>
      <c r="O144" s="2" t="s">
        <v>35</v>
      </c>
      <c r="P144" s="2" t="s">
        <v>876</v>
      </c>
      <c r="Q144" s="2"/>
      <c r="R144" s="2">
        <v>32.0</v>
      </c>
      <c r="S144" s="2" t="s">
        <v>88</v>
      </c>
      <c r="T144" s="2"/>
      <c r="U144" s="2"/>
      <c r="V144" s="2"/>
    </row>
    <row r="145">
      <c r="A145" s="2" t="s">
        <v>877</v>
      </c>
      <c r="B145" s="2" t="s">
        <v>878</v>
      </c>
      <c r="C145" s="2" t="s">
        <v>415</v>
      </c>
      <c r="D145" s="2" t="s">
        <v>123</v>
      </c>
      <c r="E145" s="2"/>
      <c r="F145" s="2" t="s">
        <v>879</v>
      </c>
      <c r="G145" s="2" t="s">
        <v>880</v>
      </c>
      <c r="H145" s="2"/>
      <c r="I145" s="2" t="s">
        <v>125</v>
      </c>
      <c r="J145" s="3" t="str">
        <f>HYPERLINK("https://www.berlingske.dk/kommentatorer/borgerligheden-er-blevet-smaaborgerlig", "Læs artikel")</f>
        <v>Læs artikel</v>
      </c>
      <c r="K145" s="2" t="s">
        <v>31</v>
      </c>
      <c r="L145" s="2" t="s">
        <v>32</v>
      </c>
      <c r="M145" s="2" t="s">
        <v>33</v>
      </c>
      <c r="N145" s="2" t="s">
        <v>881</v>
      </c>
      <c r="O145" s="2" t="s">
        <v>128</v>
      </c>
      <c r="P145" s="2" t="s">
        <v>882</v>
      </c>
      <c r="Q145" s="2"/>
      <c r="R145" s="2">
        <v>38.0</v>
      </c>
      <c r="S145" s="2" t="s">
        <v>758</v>
      </c>
      <c r="T145" s="2"/>
      <c r="U145" s="2"/>
      <c r="V145" s="2"/>
    </row>
    <row r="146">
      <c r="A146" s="2" t="s">
        <v>883</v>
      </c>
      <c r="B146" s="2" t="s">
        <v>884</v>
      </c>
      <c r="C146" s="2" t="s">
        <v>415</v>
      </c>
      <c r="D146" s="2" t="s">
        <v>123</v>
      </c>
      <c r="E146" s="2"/>
      <c r="F146" s="2" t="s">
        <v>885</v>
      </c>
      <c r="G146" s="2" t="s">
        <v>886</v>
      </c>
      <c r="H146" s="2"/>
      <c r="I146" s="2" t="s">
        <v>163</v>
      </c>
      <c r="J146" s="3" t="str">
        <f>HYPERLINK("https://www.berlingske.dk/kronikker/maersks-ansatte-skal-tilbage-paa-kontoret--men-andre-virksomheder-boer-vaere-varsomme-med-at-kopiere-strategien", "Læs artikel")</f>
        <v>Læs artikel</v>
      </c>
      <c r="K146" s="2" t="s">
        <v>31</v>
      </c>
      <c r="L146" s="2" t="s">
        <v>32</v>
      </c>
      <c r="M146" s="2" t="s">
        <v>33</v>
      </c>
      <c r="N146" s="2" t="s">
        <v>887</v>
      </c>
      <c r="O146" s="2" t="s">
        <v>165</v>
      </c>
      <c r="P146" s="2" t="s">
        <v>888</v>
      </c>
      <c r="Q146" s="2"/>
      <c r="R146" s="2">
        <v>30.0</v>
      </c>
      <c r="S146" s="2" t="s">
        <v>97</v>
      </c>
      <c r="T146" s="2"/>
      <c r="U146" s="2"/>
      <c r="V146" s="2"/>
    </row>
    <row r="147">
      <c r="A147" s="2" t="s">
        <v>889</v>
      </c>
      <c r="B147" s="2" t="s">
        <v>890</v>
      </c>
      <c r="C147" s="2" t="s">
        <v>407</v>
      </c>
      <c r="D147" s="2" t="s">
        <v>25</v>
      </c>
      <c r="E147" s="2" t="s">
        <v>408</v>
      </c>
      <c r="F147" s="2" t="s">
        <v>891</v>
      </c>
      <c r="G147" s="2" t="s">
        <v>452</v>
      </c>
      <c r="H147" s="2" t="s">
        <v>892</v>
      </c>
      <c r="I147" s="2" t="s">
        <v>30</v>
      </c>
      <c r="J147" s="3" t="str">
        <f>HYPERLINK("https://nordjyske.dk/nyheder/nordjylland/frihed-har-en-pris-spoergsmaalet-er-om-vi-vil-betale-den/6048663", "Læs artikel")</f>
        <v>Læs artikel</v>
      </c>
      <c r="K147" s="2" t="s">
        <v>31</v>
      </c>
      <c r="L147" s="2" t="s">
        <v>32</v>
      </c>
      <c r="M147" s="2" t="s">
        <v>33</v>
      </c>
      <c r="N147" s="2" t="s">
        <v>893</v>
      </c>
      <c r="O147" s="2" t="s">
        <v>35</v>
      </c>
      <c r="P147" s="2"/>
      <c r="Q147" s="2"/>
      <c r="R147" s="2">
        <v>18.0</v>
      </c>
      <c r="S147" s="2" t="s">
        <v>894</v>
      </c>
      <c r="T147" s="2"/>
      <c r="U147" s="2"/>
      <c r="V147" s="2"/>
    </row>
    <row r="148">
      <c r="A148" s="2" t="s">
        <v>895</v>
      </c>
      <c r="B148" s="2" t="s">
        <v>896</v>
      </c>
      <c r="C148" s="2" t="s">
        <v>415</v>
      </c>
      <c r="D148" s="2" t="s">
        <v>123</v>
      </c>
      <c r="E148" s="2"/>
      <c r="F148" s="2" t="s">
        <v>897</v>
      </c>
      <c r="G148" s="2" t="s">
        <v>898</v>
      </c>
      <c r="H148" s="2"/>
      <c r="I148" s="2" t="s">
        <v>395</v>
      </c>
      <c r="J148" s="3" t="str">
        <f>HYPERLINK("https://www.berlingske.dk/ledere/berlingske-mener-det-er-farligt-naar-trump-kvaeler-al-modstand", "Læs artikel")</f>
        <v>Læs artikel</v>
      </c>
      <c r="K148" s="2" t="s">
        <v>31</v>
      </c>
      <c r="L148" s="2" t="s">
        <v>32</v>
      </c>
      <c r="M148" s="2" t="s">
        <v>33</v>
      </c>
      <c r="N148" s="2" t="s">
        <v>899</v>
      </c>
      <c r="O148" s="2"/>
      <c r="P148" s="2" t="s">
        <v>900</v>
      </c>
      <c r="Q148" s="2"/>
      <c r="R148" s="2">
        <v>20.0</v>
      </c>
      <c r="S148" s="2" t="s">
        <v>97</v>
      </c>
      <c r="T148" s="2"/>
      <c r="U148" s="2"/>
      <c r="V148" s="2"/>
    </row>
    <row r="149">
      <c r="A149" s="2" t="s">
        <v>901</v>
      </c>
      <c r="B149" s="2" t="s">
        <v>902</v>
      </c>
      <c r="C149" s="2" t="s">
        <v>415</v>
      </c>
      <c r="D149" s="2" t="s">
        <v>123</v>
      </c>
      <c r="E149" s="2"/>
      <c r="F149" s="2" t="s">
        <v>903</v>
      </c>
      <c r="G149" s="2" t="s">
        <v>904</v>
      </c>
      <c r="H149" s="2"/>
      <c r="I149" s="2" t="s">
        <v>30</v>
      </c>
      <c r="J149" s="3" t="str">
        <f>HYPERLINK("https://www.berlingske.dk/synspunkter/der-er-alt-for-mange-misforstaaelser-i-debatten-om-fertilitet", "Læs artikel")</f>
        <v>Læs artikel</v>
      </c>
      <c r="K149" s="2" t="s">
        <v>31</v>
      </c>
      <c r="L149" s="2" t="s">
        <v>32</v>
      </c>
      <c r="M149" s="2" t="s">
        <v>33</v>
      </c>
      <c r="N149" s="2" t="s">
        <v>905</v>
      </c>
      <c r="O149" s="2" t="s">
        <v>35</v>
      </c>
      <c r="P149" s="2" t="s">
        <v>104</v>
      </c>
      <c r="Q149" s="2"/>
      <c r="R149" s="2">
        <v>42.0</v>
      </c>
      <c r="S149" s="2" t="s">
        <v>151</v>
      </c>
      <c r="T149" s="2"/>
      <c r="U149" s="2"/>
      <c r="V149" s="2"/>
    </row>
    <row r="150">
      <c r="A150" s="2" t="s">
        <v>906</v>
      </c>
      <c r="B150" s="2" t="s">
        <v>907</v>
      </c>
      <c r="C150" s="2" t="s">
        <v>407</v>
      </c>
      <c r="D150" s="2" t="s">
        <v>25</v>
      </c>
      <c r="E150" s="2" t="s">
        <v>408</v>
      </c>
      <c r="F150" s="2" t="s">
        <v>908</v>
      </c>
      <c r="G150" s="2" t="s">
        <v>452</v>
      </c>
      <c r="H150" s="2" t="s">
        <v>909</v>
      </c>
      <c r="I150" s="2" t="s">
        <v>30</v>
      </c>
      <c r="J150" s="3" t="str">
        <f>HYPERLINK("https://nordjyske.dk/nyheder/nordjylland/folketinget-ser-paa-vandselskabernes-ansvar-sagen-fra-hjoerring-viser-hvorfor/6048738", "Læs artikel")</f>
        <v>Læs artikel</v>
      </c>
      <c r="K150" s="2" t="s">
        <v>31</v>
      </c>
      <c r="L150" s="2" t="s">
        <v>32</v>
      </c>
      <c r="M150" s="2" t="s">
        <v>33</v>
      </c>
      <c r="N150" s="2" t="s">
        <v>910</v>
      </c>
      <c r="O150" s="2" t="s">
        <v>35</v>
      </c>
      <c r="P150" s="2" t="s">
        <v>133</v>
      </c>
      <c r="Q150" s="2" t="s">
        <v>555</v>
      </c>
      <c r="R150" s="2">
        <v>42.0</v>
      </c>
      <c r="S150" s="2" t="s">
        <v>911</v>
      </c>
      <c r="T150" s="2"/>
      <c r="U150" s="2"/>
      <c r="V150" s="2"/>
    </row>
    <row r="151">
      <c r="A151" s="2" t="s">
        <v>912</v>
      </c>
      <c r="B151" s="2" t="s">
        <v>913</v>
      </c>
      <c r="C151" s="2" t="s">
        <v>122</v>
      </c>
      <c r="D151" s="2" t="s">
        <v>123</v>
      </c>
      <c r="E151" s="2"/>
      <c r="F151" s="2" t="s">
        <v>914</v>
      </c>
      <c r="G151" s="2"/>
      <c r="H151" s="2"/>
      <c r="I151" s="2" t="s">
        <v>163</v>
      </c>
      <c r="J151" s="3" t="str">
        <f>HYPERLINK("https://www.altinget.dk/artikel/forhandlingsekspert-trump-vil-stadig-vil-have-groenland-her-er-hvad-danmark-nu-kan-goere", "Læs artikel")</f>
        <v>Læs artikel</v>
      </c>
      <c r="K151" s="2" t="s">
        <v>31</v>
      </c>
      <c r="L151" s="2" t="s">
        <v>32</v>
      </c>
      <c r="M151" s="2" t="s">
        <v>33</v>
      </c>
      <c r="N151" s="2" t="s">
        <v>915</v>
      </c>
      <c r="O151" s="2" t="s">
        <v>165</v>
      </c>
      <c r="P151" s="2" t="s">
        <v>688</v>
      </c>
      <c r="Q151" s="2" t="s">
        <v>689</v>
      </c>
      <c r="R151" s="2">
        <v>18.0</v>
      </c>
      <c r="S151" s="2" t="s">
        <v>311</v>
      </c>
      <c r="T151" s="2"/>
      <c r="U151" s="2"/>
      <c r="V151" s="2"/>
    </row>
    <row r="152">
      <c r="A152" s="2" t="s">
        <v>916</v>
      </c>
      <c r="B152" s="2" t="s">
        <v>913</v>
      </c>
      <c r="C152" s="2" t="s">
        <v>122</v>
      </c>
      <c r="D152" s="2" t="s">
        <v>123</v>
      </c>
      <c r="E152" s="2"/>
      <c r="F152" s="2" t="s">
        <v>917</v>
      </c>
      <c r="G152" s="2"/>
      <c r="H152" s="2"/>
      <c r="I152" s="2" t="s">
        <v>125</v>
      </c>
      <c r="J152" s="3" t="str">
        <f>HYPERLINK("https://www.altinget.dk/artikel/tore-hamming-bag-parolerne-om-sikkerhed-saetter-ny-amerikansk-strategi-turbo-paa-trumps-autoritaere-projekt", "Læs artikel")</f>
        <v>Læs artikel</v>
      </c>
      <c r="K152" s="2" t="s">
        <v>31</v>
      </c>
      <c r="L152" s="2" t="s">
        <v>32</v>
      </c>
      <c r="M152" s="2" t="s">
        <v>33</v>
      </c>
      <c r="N152" s="2" t="s">
        <v>918</v>
      </c>
      <c r="O152" s="2" t="s">
        <v>128</v>
      </c>
      <c r="P152" s="2" t="s">
        <v>919</v>
      </c>
      <c r="Q152" s="2"/>
      <c r="R152" s="2">
        <v>20.0</v>
      </c>
      <c r="S152" s="2" t="s">
        <v>97</v>
      </c>
      <c r="T152" s="2"/>
      <c r="U152" s="2"/>
      <c r="V152" s="2"/>
    </row>
    <row r="153">
      <c r="A153" s="2" t="s">
        <v>920</v>
      </c>
      <c r="B153" s="2" t="s">
        <v>913</v>
      </c>
      <c r="C153" s="2" t="s">
        <v>122</v>
      </c>
      <c r="D153" s="2" t="s">
        <v>123</v>
      </c>
      <c r="E153" s="2"/>
      <c r="F153" s="2" t="s">
        <v>921</v>
      </c>
      <c r="G153" s="2"/>
      <c r="H153" s="2"/>
      <c r="I153" s="2" t="s">
        <v>125</v>
      </c>
      <c r="J153" s="3" t="str">
        <f>HYPERLINK("https://www.altinget.dk/artikel/ozlem-cekic-og-poul-madsen-alle-nydanskere-skal-se-matador", "Læs artikel")</f>
        <v>Læs artikel</v>
      </c>
      <c r="K153" s="2" t="s">
        <v>31</v>
      </c>
      <c r="L153" s="2" t="s">
        <v>32</v>
      </c>
      <c r="M153" s="2" t="s">
        <v>33</v>
      </c>
      <c r="N153" s="2" t="s">
        <v>922</v>
      </c>
      <c r="O153" s="2" t="s">
        <v>128</v>
      </c>
      <c r="P153" s="2"/>
      <c r="Q153" s="2"/>
      <c r="R153" s="2">
        <v>0.0</v>
      </c>
      <c r="S153" s="2"/>
      <c r="T153" s="2"/>
      <c r="U153" s="2"/>
      <c r="V153" s="2"/>
    </row>
    <row r="154">
      <c r="A154" s="2" t="s">
        <v>923</v>
      </c>
      <c r="B154" s="2" t="s">
        <v>924</v>
      </c>
      <c r="C154" s="2" t="s">
        <v>701</v>
      </c>
      <c r="D154" s="2" t="s">
        <v>25</v>
      </c>
      <c r="E154" s="2" t="s">
        <v>702</v>
      </c>
      <c r="F154" s="2" t="s">
        <v>925</v>
      </c>
      <c r="G154" s="2" t="s">
        <v>926</v>
      </c>
      <c r="H154" s="2"/>
      <c r="I154" s="2" t="s">
        <v>395</v>
      </c>
      <c r="J154" s="3" t="str">
        <f>HYPERLINK("https://jv.dk/debat/tak-til-mette-for-at-dele-sin-historie-hun-var-fru-danmark-saa-vaeltede-livet", "Læs artikel")</f>
        <v>Læs artikel</v>
      </c>
      <c r="K154" s="2" t="s">
        <v>31</v>
      </c>
      <c r="L154" s="2" t="s">
        <v>32</v>
      </c>
      <c r="M154" s="2" t="s">
        <v>33</v>
      </c>
      <c r="N154" s="2" t="s">
        <v>927</v>
      </c>
      <c r="O154" s="2"/>
      <c r="P154" s="2" t="s">
        <v>243</v>
      </c>
      <c r="Q154" s="2"/>
      <c r="R154" s="2">
        <v>0.0</v>
      </c>
      <c r="S154" s="2"/>
      <c r="T154" s="2"/>
      <c r="U154" s="2"/>
      <c r="V154" s="2"/>
    </row>
    <row r="155">
      <c r="A155" s="2" t="s">
        <v>928</v>
      </c>
      <c r="B155" s="2" t="s">
        <v>929</v>
      </c>
      <c r="C155" s="2" t="s">
        <v>527</v>
      </c>
      <c r="D155" s="2" t="s">
        <v>123</v>
      </c>
      <c r="E155" s="2"/>
      <c r="F155" s="2" t="s">
        <v>930</v>
      </c>
      <c r="G155" s="2" t="s">
        <v>931</v>
      </c>
      <c r="H155" s="2" t="s">
        <v>750</v>
      </c>
      <c r="I155" s="2" t="s">
        <v>125</v>
      </c>
      <c r="J155" s="3" t="str">
        <f>HYPERLINK("https://www.kristeligt-dagblad.dk/debat/klaeder-skaber-dagsorden", "Læs artikel")</f>
        <v>Læs artikel</v>
      </c>
      <c r="K155" s="2" t="s">
        <v>31</v>
      </c>
      <c r="L155" s="2" t="s">
        <v>32</v>
      </c>
      <c r="M155" s="2" t="s">
        <v>33</v>
      </c>
      <c r="N155" s="2" t="s">
        <v>932</v>
      </c>
      <c r="O155" s="2" t="s">
        <v>128</v>
      </c>
      <c r="P155" s="2"/>
      <c r="Q155" s="2"/>
      <c r="R155" s="2">
        <v>0.0</v>
      </c>
      <c r="S155" s="2"/>
      <c r="T155" s="2"/>
      <c r="U155" s="2"/>
      <c r="V155" s="2"/>
    </row>
    <row r="156">
      <c r="A156" s="2" t="s">
        <v>933</v>
      </c>
      <c r="B156" s="2" t="s">
        <v>934</v>
      </c>
      <c r="C156" s="2" t="s">
        <v>527</v>
      </c>
      <c r="D156" s="2" t="s">
        <v>123</v>
      </c>
      <c r="E156" s="2"/>
      <c r="F156" s="2" t="s">
        <v>935</v>
      </c>
      <c r="G156" s="2" t="s">
        <v>936</v>
      </c>
      <c r="H156" s="2" t="s">
        <v>937</v>
      </c>
      <c r="I156" s="2" t="s">
        <v>125</v>
      </c>
      <c r="J156" s="3" t="str">
        <f>HYPERLINK("https://www.kristeligt-dagblad.dk/debat/sognet-har-mistet-sin-betydning-folk-vaelger-kirke-som-alt-andet", "Læs artikel")</f>
        <v>Læs artikel</v>
      </c>
      <c r="K156" s="2" t="s">
        <v>31</v>
      </c>
      <c r="L156" s="2" t="s">
        <v>32</v>
      </c>
      <c r="M156" s="2" t="s">
        <v>33</v>
      </c>
      <c r="N156" s="2" t="s">
        <v>938</v>
      </c>
      <c r="O156" s="2" t="s">
        <v>128</v>
      </c>
      <c r="P156" s="2"/>
      <c r="Q156" s="2"/>
      <c r="R156" s="2">
        <v>0.0</v>
      </c>
      <c r="S156" s="2"/>
      <c r="T156" s="2"/>
      <c r="U156" s="2"/>
      <c r="V156" s="2"/>
    </row>
    <row r="157">
      <c r="A157" s="2" t="s">
        <v>939</v>
      </c>
      <c r="B157" s="2" t="s">
        <v>940</v>
      </c>
      <c r="C157" s="2" t="s">
        <v>391</v>
      </c>
      <c r="D157" s="2" t="s">
        <v>25</v>
      </c>
      <c r="E157" s="2" t="s">
        <v>392</v>
      </c>
      <c r="F157" s="2" t="s">
        <v>941</v>
      </c>
      <c r="G157" s="2" t="s">
        <v>942</v>
      </c>
      <c r="H157" s="2"/>
      <c r="I157" s="2" t="s">
        <v>395</v>
      </c>
      <c r="J157" s="3" t="str">
        <f>HYPERLINK("https://fyens.dk/debat/flere-bakker-op-om-fuck-islam-skrevet-paa-moske-det-er-jo-helt-vaek-fra-vinduet", "Læs artikel")</f>
        <v>Læs artikel</v>
      </c>
      <c r="K157" s="2" t="s">
        <v>31</v>
      </c>
      <c r="L157" s="2" t="s">
        <v>32</v>
      </c>
      <c r="M157" s="2" t="s">
        <v>33</v>
      </c>
      <c r="N157" s="2" t="s">
        <v>943</v>
      </c>
      <c r="O157" s="2"/>
      <c r="P157" s="2"/>
      <c r="Q157" s="2"/>
      <c r="R157" s="2">
        <v>0.0</v>
      </c>
      <c r="S157" s="2"/>
      <c r="T157" s="2"/>
      <c r="U157" s="2"/>
      <c r="V157" s="2"/>
    </row>
    <row r="158">
      <c r="A158" s="2" t="s">
        <v>944</v>
      </c>
      <c r="B158" s="2" t="s">
        <v>945</v>
      </c>
      <c r="C158" s="2" t="s">
        <v>407</v>
      </c>
      <c r="D158" s="2" t="s">
        <v>25</v>
      </c>
      <c r="E158" s="2" t="s">
        <v>408</v>
      </c>
      <c r="F158" s="2" t="s">
        <v>946</v>
      </c>
      <c r="G158" s="2" t="s">
        <v>452</v>
      </c>
      <c r="H158" s="2" t="s">
        <v>947</v>
      </c>
      <c r="I158" s="2" t="s">
        <v>30</v>
      </c>
      <c r="J158" s="3" t="str">
        <f>HYPERLINK("https://nordjyske.dk/nyheder/nordjylland/debat-nyt-methanolanlaeg-ved-aars-rejser-spoergsmaal-om-risiko-placering-og-kontrol/6048607", "Læs artikel")</f>
        <v>Læs artikel</v>
      </c>
      <c r="K158" s="2" t="s">
        <v>31</v>
      </c>
      <c r="L158" s="2" t="s">
        <v>32</v>
      </c>
      <c r="M158" s="2" t="s">
        <v>33</v>
      </c>
      <c r="N158" s="2" t="s">
        <v>948</v>
      </c>
      <c r="O158" s="2" t="s">
        <v>35</v>
      </c>
      <c r="P158" s="2"/>
      <c r="Q158" s="2"/>
      <c r="R158" s="2">
        <v>26.0</v>
      </c>
      <c r="S158" s="2" t="s">
        <v>518</v>
      </c>
      <c r="T158" s="2"/>
      <c r="U158" s="2"/>
      <c r="V158" s="2"/>
    </row>
    <row r="159">
      <c r="A159" s="2" t="s">
        <v>949</v>
      </c>
      <c r="B159" s="2" t="s">
        <v>950</v>
      </c>
      <c r="C159" s="2" t="s">
        <v>122</v>
      </c>
      <c r="D159" s="2" t="s">
        <v>123</v>
      </c>
      <c r="E159" s="2"/>
      <c r="F159" s="2" t="s">
        <v>951</v>
      </c>
      <c r="G159" s="2"/>
      <c r="H159" s="2"/>
      <c r="I159" s="2" t="s">
        <v>125</v>
      </c>
      <c r="J159" s="3" t="str">
        <f>HYPERLINK("https://www.altinget.dk/artikel/kommuner-er-efterladt-paa-perronen-med-et-overskredet-budget-paa-milliarder", "Læs artikel")</f>
        <v>Læs artikel</v>
      </c>
      <c r="K159" s="2" t="s">
        <v>31</v>
      </c>
      <c r="L159" s="2" t="s">
        <v>32</v>
      </c>
      <c r="M159" s="2" t="s">
        <v>33</v>
      </c>
      <c r="N159" s="2" t="s">
        <v>952</v>
      </c>
      <c r="O159" s="2" t="s">
        <v>128</v>
      </c>
      <c r="P159" s="2" t="s">
        <v>118</v>
      </c>
      <c r="Q159" s="2"/>
      <c r="R159" s="2">
        <v>28.0</v>
      </c>
      <c r="S159" s="2" t="s">
        <v>374</v>
      </c>
      <c r="T159" s="2"/>
      <c r="U159" s="2"/>
      <c r="V159" s="2"/>
    </row>
    <row r="160">
      <c r="A160" s="2" t="s">
        <v>953</v>
      </c>
      <c r="B160" s="2" t="s">
        <v>954</v>
      </c>
      <c r="C160" s="2" t="s">
        <v>701</v>
      </c>
      <c r="D160" s="2" t="s">
        <v>25</v>
      </c>
      <c r="E160" s="2" t="s">
        <v>702</v>
      </c>
      <c r="F160" s="2" t="s">
        <v>955</v>
      </c>
      <c r="G160" s="2" t="s">
        <v>956</v>
      </c>
      <c r="H160" s="2" t="s">
        <v>957</v>
      </c>
      <c r="I160" s="2" t="s">
        <v>30</v>
      </c>
      <c r="J160" s="3" t="str">
        <f>HYPERLINK("https://jv.dk/debat/haabet-lever", "Læs artikel")</f>
        <v>Læs artikel</v>
      </c>
      <c r="K160" s="2" t="s">
        <v>31</v>
      </c>
      <c r="L160" s="2" t="s">
        <v>32</v>
      </c>
      <c r="M160" s="2" t="s">
        <v>33</v>
      </c>
      <c r="N160" s="2" t="s">
        <v>958</v>
      </c>
      <c r="O160" s="2" t="s">
        <v>35</v>
      </c>
      <c r="P160" s="2"/>
      <c r="Q160" s="2"/>
      <c r="R160" s="2">
        <v>0.0</v>
      </c>
      <c r="S160" s="2"/>
      <c r="T160" s="2"/>
      <c r="U160" s="2"/>
      <c r="V160" s="2"/>
    </row>
    <row r="161">
      <c r="A161" s="2" t="s">
        <v>959</v>
      </c>
      <c r="B161" s="2" t="s">
        <v>960</v>
      </c>
      <c r="C161" s="2" t="s">
        <v>391</v>
      </c>
      <c r="D161" s="2" t="s">
        <v>25</v>
      </c>
      <c r="E161" s="2" t="s">
        <v>392</v>
      </c>
      <c r="F161" s="2" t="s">
        <v>961</v>
      </c>
      <c r="G161" s="2" t="s">
        <v>962</v>
      </c>
      <c r="H161" s="2"/>
      <c r="I161" s="2" t="s">
        <v>30</v>
      </c>
      <c r="J161" s="3" t="str">
        <f>HYPERLINK("https://fyens.dk/debat/klumme-kaere-50-aarige-i-er-ikke-altid-saa-velopdragne-som-i-tror", "Læs artikel")</f>
        <v>Læs artikel</v>
      </c>
      <c r="K161" s="2" t="s">
        <v>31</v>
      </c>
      <c r="L161" s="2" t="s">
        <v>32</v>
      </c>
      <c r="M161" s="2" t="s">
        <v>33</v>
      </c>
      <c r="N161" s="2" t="s">
        <v>963</v>
      </c>
      <c r="O161" s="2" t="s">
        <v>35</v>
      </c>
      <c r="P161" s="2"/>
      <c r="Q161" s="2"/>
      <c r="R161" s="2">
        <v>0.0</v>
      </c>
      <c r="S161" s="2"/>
      <c r="T161" s="2"/>
      <c r="U161" s="2"/>
      <c r="V161" s="2"/>
    </row>
    <row r="162">
      <c r="A162" s="2" t="s">
        <v>964</v>
      </c>
      <c r="B162" s="2" t="s">
        <v>960</v>
      </c>
      <c r="C162" s="2" t="s">
        <v>701</v>
      </c>
      <c r="D162" s="2" t="s">
        <v>25</v>
      </c>
      <c r="E162" s="2" t="s">
        <v>702</v>
      </c>
      <c r="F162" s="2" t="s">
        <v>961</v>
      </c>
      <c r="G162" s="2" t="s">
        <v>962</v>
      </c>
      <c r="H162" s="2"/>
      <c r="I162" s="2" t="s">
        <v>234</v>
      </c>
      <c r="J162" s="3" t="str">
        <f>HYPERLINK("https://jv.dk/debat/klumme-kaere-50-aarige-i-er-ikke-altid-saa-velopdragne-som-i-tror", "Læs artikel")</f>
        <v>Læs artikel</v>
      </c>
      <c r="K162" s="2" t="s">
        <v>31</v>
      </c>
      <c r="L162" s="2" t="s">
        <v>32</v>
      </c>
      <c r="M162" s="2" t="s">
        <v>33</v>
      </c>
      <c r="N162" s="2" t="s">
        <v>965</v>
      </c>
      <c r="O162" s="2"/>
      <c r="P162" s="2"/>
      <c r="Q162" s="2"/>
      <c r="R162" s="2">
        <v>0.0</v>
      </c>
      <c r="S162" s="2"/>
      <c r="T162" s="2"/>
      <c r="U162" s="2"/>
      <c r="V162" s="2"/>
    </row>
    <row r="163">
      <c r="A163" s="2" t="s">
        <v>966</v>
      </c>
      <c r="B163" s="2" t="s">
        <v>967</v>
      </c>
      <c r="C163" s="2" t="s">
        <v>391</v>
      </c>
      <c r="D163" s="2" t="s">
        <v>25</v>
      </c>
      <c r="E163" s="2" t="s">
        <v>392</v>
      </c>
      <c r="F163" s="2" t="s">
        <v>968</v>
      </c>
      <c r="G163" s="2" t="s">
        <v>969</v>
      </c>
      <c r="H163" s="2"/>
      <c r="I163" s="2" t="s">
        <v>234</v>
      </c>
      <c r="J163" s="3" t="str">
        <f>HYPERLINK("https://fyens.dk/debat/det-er-da-fint-at-folk-i-tusindvis-kommer-til-ridestaevne-i-vejle-men-hvor-d-skal-de-parkere", "Læs artikel")</f>
        <v>Læs artikel</v>
      </c>
      <c r="K163" s="2" t="s">
        <v>31</v>
      </c>
      <c r="L163" s="2" t="s">
        <v>32</v>
      </c>
      <c r="M163" s="2" t="s">
        <v>33</v>
      </c>
      <c r="N163" s="2" t="s">
        <v>970</v>
      </c>
      <c r="O163" s="2"/>
      <c r="P163" s="2" t="s">
        <v>133</v>
      </c>
      <c r="Q163" s="2"/>
      <c r="R163" s="2">
        <v>22.0</v>
      </c>
      <c r="S163" s="2" t="s">
        <v>119</v>
      </c>
      <c r="T163" s="2"/>
      <c r="U163" s="2"/>
      <c r="V163" s="2"/>
    </row>
    <row r="164">
      <c r="A164" s="2" t="s">
        <v>971</v>
      </c>
      <c r="B164" s="2" t="s">
        <v>967</v>
      </c>
      <c r="C164" s="2" t="s">
        <v>701</v>
      </c>
      <c r="D164" s="2" t="s">
        <v>25</v>
      </c>
      <c r="E164" s="2" t="s">
        <v>702</v>
      </c>
      <c r="F164" s="2" t="s">
        <v>968</v>
      </c>
      <c r="G164" s="2" t="s">
        <v>969</v>
      </c>
      <c r="H164" s="2"/>
      <c r="I164" s="2" t="s">
        <v>234</v>
      </c>
      <c r="J164" s="3" t="str">
        <f>HYPERLINK("https://jv.dk/debat/det-er-da-fint-at-folk-i-tusindvis-kommer-til-ridestaevne-i-vejle-men-hvor-d-skal-de-parkere", "Læs artikel")</f>
        <v>Læs artikel</v>
      </c>
      <c r="K164" s="2" t="s">
        <v>31</v>
      </c>
      <c r="L164" s="2" t="s">
        <v>32</v>
      </c>
      <c r="M164" s="2" t="s">
        <v>33</v>
      </c>
      <c r="N164" s="2" t="s">
        <v>972</v>
      </c>
      <c r="O164" s="2"/>
      <c r="P164" s="2" t="s">
        <v>133</v>
      </c>
      <c r="Q164" s="2"/>
      <c r="R164" s="2">
        <v>22.0</v>
      </c>
      <c r="S164" s="2" t="s">
        <v>119</v>
      </c>
      <c r="T164" s="2"/>
      <c r="U164" s="2"/>
      <c r="V164" s="2"/>
    </row>
    <row r="165">
      <c r="A165" s="2" t="s">
        <v>973</v>
      </c>
      <c r="B165" s="2" t="s">
        <v>974</v>
      </c>
      <c r="C165" s="2" t="s">
        <v>645</v>
      </c>
      <c r="D165" s="2" t="s">
        <v>25</v>
      </c>
      <c r="E165" s="2" t="s">
        <v>646</v>
      </c>
      <c r="F165" s="2" t="s">
        <v>975</v>
      </c>
      <c r="G165" s="2" t="s">
        <v>976</v>
      </c>
      <c r="H165" s="2" t="s">
        <v>977</v>
      </c>
      <c r="I165" s="2" t="s">
        <v>30</v>
      </c>
      <c r="J165" s="3" t="str">
        <f>HYPERLINK("https://viborg-folkeblad.dk/debat/laeserbrev-soeerne-skal-ikke-vaere-byens-bagside-de-skal-vaere-viborgs-fremtid", "Læs artikel")</f>
        <v>Læs artikel</v>
      </c>
      <c r="K165" s="2" t="s">
        <v>31</v>
      </c>
      <c r="L165" s="2" t="s">
        <v>32</v>
      </c>
      <c r="M165" s="2" t="s">
        <v>33</v>
      </c>
      <c r="N165" s="2" t="s">
        <v>978</v>
      </c>
      <c r="O165" s="2" t="s">
        <v>35</v>
      </c>
      <c r="P165" s="2"/>
      <c r="Q165" s="2"/>
      <c r="R165" s="2">
        <v>0.0</v>
      </c>
      <c r="S165" s="2"/>
      <c r="T165" s="2"/>
      <c r="U165" s="2"/>
      <c r="V165" s="2"/>
    </row>
    <row r="166">
      <c r="A166" s="2" t="s">
        <v>979</v>
      </c>
      <c r="B166" s="2" t="s">
        <v>980</v>
      </c>
      <c r="C166" s="2" t="s">
        <v>391</v>
      </c>
      <c r="D166" s="2" t="s">
        <v>25</v>
      </c>
      <c r="E166" s="2" t="s">
        <v>392</v>
      </c>
      <c r="F166" s="2" t="s">
        <v>981</v>
      </c>
      <c r="G166" s="2" t="s">
        <v>982</v>
      </c>
      <c r="H166" s="2"/>
      <c r="I166" s="2" t="s">
        <v>30</v>
      </c>
      <c r="J166" s="3" t="str">
        <f>HYPERLINK("https://fyens.dk/debat/prisen-er-i-alt-210-millioner-kroner-derfor-er-det-rigtigt-at-bruge-saa-mange-penge-paa-stadion", "Læs artikel")</f>
        <v>Læs artikel</v>
      </c>
      <c r="K166" s="2" t="s">
        <v>31</v>
      </c>
      <c r="L166" s="2" t="s">
        <v>32</v>
      </c>
      <c r="M166" s="2" t="s">
        <v>33</v>
      </c>
      <c r="N166" s="2" t="s">
        <v>983</v>
      </c>
      <c r="O166" s="2" t="s">
        <v>35</v>
      </c>
      <c r="P166" s="2" t="s">
        <v>387</v>
      </c>
      <c r="Q166" s="2"/>
      <c r="R166" s="2">
        <v>10.0</v>
      </c>
      <c r="S166" s="2" t="s">
        <v>134</v>
      </c>
      <c r="T166" s="2"/>
      <c r="U166" s="2"/>
      <c r="V166" s="2"/>
    </row>
    <row r="167">
      <c r="A167" s="2" t="s">
        <v>984</v>
      </c>
      <c r="B167" s="2" t="s">
        <v>985</v>
      </c>
      <c r="C167" s="2" t="s">
        <v>391</v>
      </c>
      <c r="D167" s="2" t="s">
        <v>25</v>
      </c>
      <c r="E167" s="2" t="s">
        <v>392</v>
      </c>
      <c r="F167" s="2" t="s">
        <v>986</v>
      </c>
      <c r="G167" s="2" t="s">
        <v>987</v>
      </c>
      <c r="H167" s="2" t="s">
        <v>988</v>
      </c>
      <c r="I167" s="2" t="s">
        <v>30</v>
      </c>
      <c r="J167" s="3" t="str">
        <f>HYPERLINK("https://fyens.dk/debat/odense-skal-ikke-bare-tale-om-fremtiden-vi-skal-bygge-den", "Læs artikel")</f>
        <v>Læs artikel</v>
      </c>
      <c r="K167" s="2" t="s">
        <v>31</v>
      </c>
      <c r="L167" s="2" t="s">
        <v>32</v>
      </c>
      <c r="M167" s="2" t="s">
        <v>33</v>
      </c>
      <c r="N167" s="2" t="s">
        <v>989</v>
      </c>
      <c r="O167" s="2" t="s">
        <v>35</v>
      </c>
      <c r="P167" s="2" t="s">
        <v>143</v>
      </c>
      <c r="Q167" s="2"/>
      <c r="R167" s="2">
        <v>0.0</v>
      </c>
      <c r="S167" s="2"/>
      <c r="T167" s="2"/>
      <c r="U167" s="2"/>
      <c r="V167" s="2"/>
    </row>
    <row r="168">
      <c r="A168" s="2" t="s">
        <v>990</v>
      </c>
      <c r="B168" s="2" t="s">
        <v>991</v>
      </c>
      <c r="C168" s="2" t="s">
        <v>407</v>
      </c>
      <c r="D168" s="2" t="s">
        <v>25</v>
      </c>
      <c r="E168" s="2" t="s">
        <v>408</v>
      </c>
      <c r="F168" s="2" t="s">
        <v>992</v>
      </c>
      <c r="G168" s="2" t="s">
        <v>993</v>
      </c>
      <c r="H168" s="2" t="s">
        <v>994</v>
      </c>
      <c r="I168" s="2" t="s">
        <v>30</v>
      </c>
      <c r="J168" s="3" t="str">
        <f>HYPERLINK("https://nordjyske.dk/nyheder/leder/nordjyske-mener-forsigtighed-er-ikke-nok-naar-fjorden-forandrer-sig/6048425", "Læs artikel")</f>
        <v>Læs artikel</v>
      </c>
      <c r="K168" s="2" t="s">
        <v>31</v>
      </c>
      <c r="L168" s="2" t="s">
        <v>32</v>
      </c>
      <c r="M168" s="2" t="s">
        <v>33</v>
      </c>
      <c r="N168" s="2" t="s">
        <v>995</v>
      </c>
      <c r="O168" s="2" t="s">
        <v>35</v>
      </c>
      <c r="P168" s="2" t="s">
        <v>801</v>
      </c>
      <c r="Q168" s="2" t="s">
        <v>713</v>
      </c>
      <c r="R168" s="2">
        <v>18.0</v>
      </c>
      <c r="S168" s="2" t="s">
        <v>112</v>
      </c>
      <c r="T168" s="2"/>
      <c r="U168" s="2"/>
      <c r="V168" s="2"/>
    </row>
    <row r="169">
      <c r="A169" s="2" t="s">
        <v>996</v>
      </c>
      <c r="B169" s="2" t="s">
        <v>997</v>
      </c>
      <c r="C169" s="2" t="s">
        <v>122</v>
      </c>
      <c r="D169" s="2" t="s">
        <v>123</v>
      </c>
      <c r="E169" s="2"/>
      <c r="F169" s="2" t="s">
        <v>998</v>
      </c>
      <c r="G169" s="2"/>
      <c r="H169" s="2"/>
      <c r="I169" s="2" t="s">
        <v>125</v>
      </c>
      <c r="J169" s="3" t="str">
        <f>HYPERLINK("https://www.altinget.dk/artikel/socialdemokratiet-afviser-diskret-en-regering-over-midten", "Læs artikel")</f>
        <v>Læs artikel</v>
      </c>
      <c r="K169" s="2" t="s">
        <v>31</v>
      </c>
      <c r="L169" s="2" t="s">
        <v>32</v>
      </c>
      <c r="M169" s="2" t="s">
        <v>33</v>
      </c>
      <c r="N169" s="2" t="s">
        <v>999</v>
      </c>
      <c r="O169" s="2" t="s">
        <v>128</v>
      </c>
      <c r="P169" s="2"/>
      <c r="Q169" s="2" t="s">
        <v>187</v>
      </c>
      <c r="R169" s="2">
        <v>20.0</v>
      </c>
      <c r="S169" s="2" t="s">
        <v>188</v>
      </c>
      <c r="T169" s="2" t="s">
        <v>215</v>
      </c>
      <c r="U169" s="2"/>
      <c r="V169" s="2"/>
    </row>
    <row r="170">
      <c r="A170" s="2" t="s">
        <v>1000</v>
      </c>
      <c r="B170" s="2" t="s">
        <v>997</v>
      </c>
      <c r="C170" s="2" t="s">
        <v>122</v>
      </c>
      <c r="D170" s="2" t="s">
        <v>123</v>
      </c>
      <c r="E170" s="2"/>
      <c r="F170" s="2" t="s">
        <v>1001</v>
      </c>
      <c r="G170" s="2"/>
      <c r="H170" s="2"/>
      <c r="I170" s="2" t="s">
        <v>125</v>
      </c>
      <c r="J170" s="3" t="str">
        <f>HYPERLINK("https://www.altinget.dk/artikel/naar-jeg-spiser-min-venindes-kedelige-mad-er-det-udtryk-for-hoeflighed-ikke-venstreekstrem-underkastelse", "Læs artikel")</f>
        <v>Læs artikel</v>
      </c>
      <c r="K170" s="2" t="s">
        <v>31</v>
      </c>
      <c r="L170" s="2" t="s">
        <v>32</v>
      </c>
      <c r="M170" s="2" t="s">
        <v>33</v>
      </c>
      <c r="N170" s="2" t="s">
        <v>1002</v>
      </c>
      <c r="O170" s="2" t="s">
        <v>128</v>
      </c>
      <c r="P170" s="2" t="s">
        <v>133</v>
      </c>
      <c r="Q170" s="2" t="s">
        <v>497</v>
      </c>
      <c r="R170" s="2">
        <v>48.0</v>
      </c>
      <c r="S170" s="2" t="s">
        <v>1003</v>
      </c>
      <c r="T170" s="2"/>
      <c r="U170" s="2"/>
      <c r="V170" s="2"/>
    </row>
    <row r="171">
      <c r="A171" s="2" t="s">
        <v>1004</v>
      </c>
      <c r="B171" s="2" t="s">
        <v>1005</v>
      </c>
      <c r="C171" s="2" t="s">
        <v>701</v>
      </c>
      <c r="D171" s="2" t="s">
        <v>25</v>
      </c>
      <c r="E171" s="2" t="s">
        <v>702</v>
      </c>
      <c r="F171" s="2" t="s">
        <v>1006</v>
      </c>
      <c r="G171" s="2" t="s">
        <v>1007</v>
      </c>
      <c r="H171" s="2" t="s">
        <v>1008</v>
      </c>
      <c r="I171" s="2" t="s">
        <v>30</v>
      </c>
      <c r="J171" s="3" t="str">
        <f>HYPERLINK("https://jv.dk/debat/danmark-drukner-i-bureaukrati-hvor-blev-reformerne-af", "Læs artikel")</f>
        <v>Læs artikel</v>
      </c>
      <c r="K171" s="2" t="s">
        <v>31</v>
      </c>
      <c r="L171" s="2" t="s">
        <v>32</v>
      </c>
      <c r="M171" s="2" t="s">
        <v>33</v>
      </c>
      <c r="N171" s="2" t="s">
        <v>1009</v>
      </c>
      <c r="O171" s="2" t="s">
        <v>35</v>
      </c>
      <c r="P171" s="2" t="s">
        <v>133</v>
      </c>
      <c r="Q171" s="2"/>
      <c r="R171" s="2">
        <v>58.0</v>
      </c>
      <c r="S171" s="2" t="s">
        <v>1010</v>
      </c>
      <c r="T171" s="2"/>
      <c r="U171" s="2"/>
      <c r="V171" s="2"/>
    </row>
    <row r="172">
      <c r="A172" s="2" t="s">
        <v>1011</v>
      </c>
      <c r="B172" s="2" t="s">
        <v>1012</v>
      </c>
      <c r="C172" s="2" t="s">
        <v>645</v>
      </c>
      <c r="D172" s="2" t="s">
        <v>25</v>
      </c>
      <c r="E172" s="2" t="s">
        <v>646</v>
      </c>
      <c r="F172" s="2" t="s">
        <v>1013</v>
      </c>
      <c r="G172" s="2" t="s">
        <v>1014</v>
      </c>
      <c r="H172" s="2" t="s">
        <v>1015</v>
      </c>
      <c r="I172" s="2" t="s">
        <v>30</v>
      </c>
      <c r="J172" s="3" t="str">
        <f>HYPERLINK("https://viborg-folkeblad.dk/debat/laeserbrev-rigspolitichefens-synderegister", "Læs artikel")</f>
        <v>Læs artikel</v>
      </c>
      <c r="K172" s="2" t="s">
        <v>31</v>
      </c>
      <c r="L172" s="2" t="s">
        <v>32</v>
      </c>
      <c r="M172" s="2" t="s">
        <v>33</v>
      </c>
      <c r="N172" s="2" t="s">
        <v>1016</v>
      </c>
      <c r="O172" s="2" t="s">
        <v>35</v>
      </c>
      <c r="P172" s="2" t="s">
        <v>443</v>
      </c>
      <c r="Q172" s="2"/>
      <c r="R172" s="2">
        <v>22.0</v>
      </c>
      <c r="S172" s="2" t="s">
        <v>119</v>
      </c>
      <c r="T172" s="2"/>
      <c r="U172" s="2"/>
      <c r="V172" s="2"/>
    </row>
    <row r="173">
      <c r="A173" s="2" t="s">
        <v>1017</v>
      </c>
      <c r="B173" s="2" t="s">
        <v>1018</v>
      </c>
      <c r="C173" s="2" t="s">
        <v>391</v>
      </c>
      <c r="D173" s="2" t="s">
        <v>25</v>
      </c>
      <c r="E173" s="2" t="s">
        <v>392</v>
      </c>
      <c r="F173" s="2" t="s">
        <v>1019</v>
      </c>
      <c r="G173" s="2" t="s">
        <v>1020</v>
      </c>
      <c r="H173" s="2"/>
      <c r="I173" s="2" t="s">
        <v>30</v>
      </c>
      <c r="J173" s="3" t="str">
        <f>HYPERLINK("https://fyens.dk/debat/konkurser-kaos-og-kritisable-forhold-her-er-hvad-nyt-ouh-har-desperat-brug-for", "Læs artikel")</f>
        <v>Læs artikel</v>
      </c>
      <c r="K173" s="2" t="s">
        <v>31</v>
      </c>
      <c r="L173" s="2" t="s">
        <v>32</v>
      </c>
      <c r="M173" s="2" t="s">
        <v>33</v>
      </c>
      <c r="N173" s="2" t="s">
        <v>1021</v>
      </c>
      <c r="O173" s="2" t="s">
        <v>35</v>
      </c>
      <c r="P173" s="2"/>
      <c r="Q173" s="2"/>
      <c r="R173" s="2">
        <v>0.0</v>
      </c>
      <c r="S173" s="2"/>
      <c r="T173" s="2"/>
      <c r="U173" s="2"/>
      <c r="V173" s="2"/>
    </row>
    <row r="174">
      <c r="A174" s="2" t="s">
        <v>1022</v>
      </c>
      <c r="B174" s="2" t="s">
        <v>1023</v>
      </c>
      <c r="C174" s="2" t="s">
        <v>701</v>
      </c>
      <c r="D174" s="2" t="s">
        <v>25</v>
      </c>
      <c r="E174" s="2" t="s">
        <v>702</v>
      </c>
      <c r="F174" s="2" t="s">
        <v>1024</v>
      </c>
      <c r="G174" s="2" t="s">
        <v>1025</v>
      </c>
      <c r="H174" s="2"/>
      <c r="I174" s="2" t="s">
        <v>395</v>
      </c>
      <c r="J174" s="3" t="str">
        <f>HYPERLINK("https://jv.dk/debat/der-findes-forklaringer-men-der-findes-ikke-undskyldninger", "Læs artikel")</f>
        <v>Læs artikel</v>
      </c>
      <c r="K174" s="2" t="s">
        <v>31</v>
      </c>
      <c r="L174" s="2" t="s">
        <v>32</v>
      </c>
      <c r="M174" s="2" t="s">
        <v>33</v>
      </c>
      <c r="N174" s="2" t="s">
        <v>1026</v>
      </c>
      <c r="O174" s="2"/>
      <c r="P174" s="2"/>
      <c r="Q174" s="2"/>
      <c r="R174" s="2">
        <v>0.0</v>
      </c>
      <c r="S174" s="2"/>
      <c r="T174" s="2"/>
      <c r="U174" s="2"/>
      <c r="V174" s="2"/>
    </row>
    <row r="175">
      <c r="A175" s="2" t="s">
        <v>1027</v>
      </c>
      <c r="B175" s="2" t="s">
        <v>1028</v>
      </c>
      <c r="C175" s="2" t="s">
        <v>407</v>
      </c>
      <c r="D175" s="2" t="s">
        <v>25</v>
      </c>
      <c r="E175" s="2" t="s">
        <v>408</v>
      </c>
      <c r="F175" s="2" t="s">
        <v>1029</v>
      </c>
      <c r="G175" s="2" t="s">
        <v>1030</v>
      </c>
      <c r="H175" s="2" t="s">
        <v>1031</v>
      </c>
      <c r="I175" s="2" t="s">
        <v>30</v>
      </c>
      <c r="J175" s="3" t="str">
        <f>HYPERLINK("https://nordjyske.dk/nyheder/nordjylland/praktikantordningen-er-blevet-til-billig-arbejdskraft/6047963", "Læs artikel")</f>
        <v>Læs artikel</v>
      </c>
      <c r="K175" s="2" t="s">
        <v>31</v>
      </c>
      <c r="L175" s="2" t="s">
        <v>32</v>
      </c>
      <c r="M175" s="2" t="s">
        <v>33</v>
      </c>
      <c r="N175" s="2" t="s">
        <v>1032</v>
      </c>
      <c r="O175" s="2" t="s">
        <v>35</v>
      </c>
      <c r="P175" s="2" t="s">
        <v>1033</v>
      </c>
      <c r="Q175" s="2"/>
      <c r="R175" s="2">
        <v>0.0</v>
      </c>
      <c r="S175" s="2"/>
      <c r="T175" s="2"/>
      <c r="U175" s="2"/>
      <c r="V175" s="2"/>
    </row>
    <row r="176">
      <c r="A176" s="2" t="s">
        <v>1034</v>
      </c>
      <c r="B176" s="2" t="s">
        <v>1035</v>
      </c>
      <c r="C176" s="2" t="s">
        <v>407</v>
      </c>
      <c r="D176" s="2" t="s">
        <v>25</v>
      </c>
      <c r="E176" s="2" t="s">
        <v>408</v>
      </c>
      <c r="F176" s="2" t="s">
        <v>1036</v>
      </c>
      <c r="G176" s="2" t="s">
        <v>452</v>
      </c>
      <c r="H176" s="2" t="s">
        <v>1037</v>
      </c>
      <c r="I176" s="2" t="s">
        <v>30</v>
      </c>
      <c r="J176" s="3" t="str">
        <f>HYPERLINK("https://nordjyske.dk/nyheder/nordjylland/har-mors-brug-for-en-erhvervspolitik/6047895", "Læs artikel")</f>
        <v>Læs artikel</v>
      </c>
      <c r="K176" s="2" t="s">
        <v>31</v>
      </c>
      <c r="L176" s="2" t="s">
        <v>32</v>
      </c>
      <c r="M176" s="2" t="s">
        <v>33</v>
      </c>
      <c r="N176" s="2" t="s">
        <v>1038</v>
      </c>
      <c r="O176" s="2" t="s">
        <v>35</v>
      </c>
      <c r="P176" s="2" t="s">
        <v>1039</v>
      </c>
      <c r="Q176" s="2"/>
      <c r="R176" s="2">
        <v>42.0</v>
      </c>
      <c r="S176" s="2" t="s">
        <v>88</v>
      </c>
      <c r="T176" s="2"/>
      <c r="U176" s="2"/>
      <c r="V176" s="2"/>
    </row>
    <row r="177">
      <c r="A177" s="2" t="s">
        <v>1040</v>
      </c>
      <c r="B177" s="2" t="s">
        <v>1041</v>
      </c>
      <c r="C177" s="2" t="s">
        <v>122</v>
      </c>
      <c r="D177" s="2" t="s">
        <v>123</v>
      </c>
      <c r="E177" s="2"/>
      <c r="F177" s="2" t="s">
        <v>1042</v>
      </c>
      <c r="G177" s="2"/>
      <c r="H177" s="2"/>
      <c r="I177" s="2" t="s">
        <v>125</v>
      </c>
      <c r="J177" s="3" t="str">
        <f>HYPERLINK("https://www.altinget.dk/artikel/loekke-tabte-magtkampen-med-de-blaa-nu-bliver-hans-sejre-paa-de-roedes-naade", "Læs artikel")</f>
        <v>Læs artikel</v>
      </c>
      <c r="K177" s="2" t="s">
        <v>31</v>
      </c>
      <c r="L177" s="2" t="s">
        <v>32</v>
      </c>
      <c r="M177" s="2" t="s">
        <v>33</v>
      </c>
      <c r="N177" s="2" t="s">
        <v>1043</v>
      </c>
      <c r="O177" s="2" t="s">
        <v>128</v>
      </c>
      <c r="P177" s="2"/>
      <c r="Q177" s="2" t="s">
        <v>187</v>
      </c>
      <c r="R177" s="2">
        <v>20.0</v>
      </c>
      <c r="S177" s="2" t="s">
        <v>188</v>
      </c>
      <c r="T177" s="2" t="s">
        <v>215</v>
      </c>
      <c r="U177" s="2"/>
      <c r="V177" s="2"/>
    </row>
    <row r="178">
      <c r="A178" s="2" t="s">
        <v>1044</v>
      </c>
      <c r="B178" s="2" t="s">
        <v>1045</v>
      </c>
      <c r="C178" s="2" t="s">
        <v>407</v>
      </c>
      <c r="D178" s="2" t="s">
        <v>25</v>
      </c>
      <c r="E178" s="2" t="s">
        <v>408</v>
      </c>
      <c r="F178" s="2" t="s">
        <v>1046</v>
      </c>
      <c r="G178" s="2" t="s">
        <v>452</v>
      </c>
      <c r="H178" s="2" t="s">
        <v>94</v>
      </c>
      <c r="I178" s="2" t="s">
        <v>30</v>
      </c>
      <c r="J178" s="3" t="str">
        <f>HYPERLINK("https://nordjyske.dk/nyheder/nordjylland/danmarks-skjulte-jobmotor-mangler-medarbejdere-det-truer-baade-vaekst-og-integration/6045843", "Læs artikel")</f>
        <v>Læs artikel</v>
      </c>
      <c r="K178" s="2" t="s">
        <v>31</v>
      </c>
      <c r="L178" s="2" t="s">
        <v>32</v>
      </c>
      <c r="M178" s="2" t="s">
        <v>33</v>
      </c>
      <c r="N178" s="2" t="s">
        <v>1047</v>
      </c>
      <c r="O178" s="2" t="s">
        <v>35</v>
      </c>
      <c r="P178" s="2" t="s">
        <v>1048</v>
      </c>
      <c r="Q178" s="2"/>
      <c r="R178" s="2">
        <v>20.0</v>
      </c>
      <c r="S178" s="2" t="s">
        <v>97</v>
      </c>
      <c r="T178" s="2"/>
      <c r="U178" s="2"/>
      <c r="V178" s="2"/>
    </row>
    <row r="179">
      <c r="A179" s="2" t="s">
        <v>1049</v>
      </c>
      <c r="B179" s="2" t="s">
        <v>1050</v>
      </c>
      <c r="C179" s="2" t="s">
        <v>407</v>
      </c>
      <c r="D179" s="2" t="s">
        <v>25</v>
      </c>
      <c r="E179" s="2" t="s">
        <v>408</v>
      </c>
      <c r="F179" s="2" t="s">
        <v>1051</v>
      </c>
      <c r="G179" s="2" t="s">
        <v>452</v>
      </c>
      <c r="H179" s="2" t="s">
        <v>1052</v>
      </c>
      <c r="I179" s="2" t="s">
        <v>30</v>
      </c>
      <c r="J179" s="3" t="str">
        <f>HYPERLINK("https://nordjyske.dk/nyheder/nordjylland/naar-hormuz-blokeres-maa-nordjylland-staa-staerkere/6044462", "Læs artikel")</f>
        <v>Læs artikel</v>
      </c>
      <c r="K179" s="2" t="s">
        <v>31</v>
      </c>
      <c r="L179" s="2" t="s">
        <v>32</v>
      </c>
      <c r="M179" s="2" t="s">
        <v>33</v>
      </c>
      <c r="N179" s="2" t="s">
        <v>1053</v>
      </c>
      <c r="O179" s="2" t="s">
        <v>35</v>
      </c>
      <c r="P179" s="2" t="s">
        <v>801</v>
      </c>
      <c r="Q179" s="2" t="s">
        <v>713</v>
      </c>
      <c r="R179" s="2">
        <v>0.0</v>
      </c>
      <c r="S179" s="2"/>
      <c r="T179" s="2"/>
      <c r="U179" s="2"/>
      <c r="V179" s="2"/>
    </row>
    <row r="180">
      <c r="A180" s="2" t="s">
        <v>1054</v>
      </c>
      <c r="B180" s="2" t="s">
        <v>1055</v>
      </c>
      <c r="C180" s="2" t="s">
        <v>407</v>
      </c>
      <c r="D180" s="2" t="s">
        <v>25</v>
      </c>
      <c r="E180" s="2" t="s">
        <v>408</v>
      </c>
      <c r="F180" s="2" t="s">
        <v>1056</v>
      </c>
      <c r="G180" s="2" t="s">
        <v>452</v>
      </c>
      <c r="H180" s="2" t="s">
        <v>1057</v>
      </c>
      <c r="I180" s="2" t="s">
        <v>30</v>
      </c>
      <c r="J180" s="3" t="str">
        <f>HYPERLINK("https://nordjyske.dk/nyheder/nordjylland/laeser-i-broenderslev-hvem-laeser-indsigelser-fra-borgerne/6044829", "Læs artikel")</f>
        <v>Læs artikel</v>
      </c>
      <c r="K180" s="2" t="s">
        <v>31</v>
      </c>
      <c r="L180" s="2" t="s">
        <v>32</v>
      </c>
      <c r="M180" s="2" t="s">
        <v>33</v>
      </c>
      <c r="N180" s="2" t="s">
        <v>1058</v>
      </c>
      <c r="O180" s="2" t="s">
        <v>35</v>
      </c>
      <c r="P180" s="2"/>
      <c r="Q180" s="2"/>
      <c r="R180" s="2">
        <v>18.0</v>
      </c>
      <c r="S180" s="2" t="s">
        <v>112</v>
      </c>
      <c r="T180" s="2"/>
      <c r="U180" s="2"/>
      <c r="V180" s="2"/>
    </row>
    <row r="181">
      <c r="A181" s="2" t="s">
        <v>1059</v>
      </c>
      <c r="B181" s="2" t="s">
        <v>1060</v>
      </c>
      <c r="C181" s="2" t="s">
        <v>645</v>
      </c>
      <c r="D181" s="2" t="s">
        <v>25</v>
      </c>
      <c r="E181" s="2" t="s">
        <v>646</v>
      </c>
      <c r="F181" s="2" t="s">
        <v>1061</v>
      </c>
      <c r="G181" s="2" t="s">
        <v>1062</v>
      </c>
      <c r="H181" s="2" t="s">
        <v>1063</v>
      </c>
      <c r="I181" s="2" t="s">
        <v>30</v>
      </c>
      <c r="J181" s="3" t="str">
        <f>HYPERLINK("https://viborg-folkeblad.dk/debat/laeserbrev-der-kan-ikke-kaempes-nok-for-ulvens-udryddelse-i-danmark", "Læs artikel")</f>
        <v>Læs artikel</v>
      </c>
      <c r="K181" s="2" t="s">
        <v>31</v>
      </c>
      <c r="L181" s="2" t="s">
        <v>32</v>
      </c>
      <c r="M181" s="2" t="s">
        <v>33</v>
      </c>
      <c r="N181" s="2" t="s">
        <v>1064</v>
      </c>
      <c r="O181" s="2" t="s">
        <v>35</v>
      </c>
      <c r="P181" s="2"/>
      <c r="Q181" s="2"/>
      <c r="R181" s="2">
        <v>8.0</v>
      </c>
      <c r="S181" s="2" t="s">
        <v>145</v>
      </c>
      <c r="T181" s="2" t="s">
        <v>1065</v>
      </c>
      <c r="U181" s="2"/>
      <c r="V181" s="2"/>
    </row>
    <row r="182">
      <c r="A182" s="2" t="s">
        <v>1066</v>
      </c>
      <c r="B182" s="2" t="s">
        <v>1067</v>
      </c>
      <c r="C182" s="2" t="s">
        <v>391</v>
      </c>
      <c r="D182" s="2" t="s">
        <v>25</v>
      </c>
      <c r="E182" s="2" t="s">
        <v>392</v>
      </c>
      <c r="F182" s="2" t="s">
        <v>1068</v>
      </c>
      <c r="G182" s="2" t="s">
        <v>1069</v>
      </c>
      <c r="H182" s="2" t="s">
        <v>1070</v>
      </c>
      <c r="I182" s="2" t="s">
        <v>30</v>
      </c>
      <c r="J182" s="3" t="str">
        <f>HYPERLINK("https://fyens.dk/debat/laeserdebat-du-ejer-ikke-din-udsigt", "Læs artikel")</f>
        <v>Læs artikel</v>
      </c>
      <c r="K182" s="2" t="s">
        <v>31</v>
      </c>
      <c r="L182" s="2" t="s">
        <v>32</v>
      </c>
      <c r="M182" s="2" t="s">
        <v>33</v>
      </c>
      <c r="N182" s="2" t="s">
        <v>1071</v>
      </c>
      <c r="O182" s="2" t="s">
        <v>35</v>
      </c>
      <c r="P182" s="2"/>
      <c r="Q182" s="2"/>
      <c r="R182" s="2">
        <v>0.0</v>
      </c>
      <c r="S182" s="2"/>
      <c r="T182" s="2"/>
      <c r="U182" s="2"/>
      <c r="V182" s="2"/>
    </row>
    <row r="183">
      <c r="A183" s="2" t="s">
        <v>1072</v>
      </c>
      <c r="B183" s="2" t="s">
        <v>1073</v>
      </c>
      <c r="C183" s="2" t="s">
        <v>391</v>
      </c>
      <c r="D183" s="2" t="s">
        <v>25</v>
      </c>
      <c r="E183" s="2" t="s">
        <v>392</v>
      </c>
      <c r="F183" s="2" t="s">
        <v>1074</v>
      </c>
      <c r="G183" s="2" t="s">
        <v>1075</v>
      </c>
      <c r="H183" s="2"/>
      <c r="I183" s="2" t="s">
        <v>395</v>
      </c>
      <c r="J183" s="3" t="str">
        <f>HYPERLINK("https://fyens.dk/debat/fyn-viser-vejen-for-hele-danmark-saadan-beskytter-vi-det-som-er-afgoerende-for-os-allesammen", "Læs artikel")</f>
        <v>Læs artikel</v>
      </c>
      <c r="K183" s="2" t="s">
        <v>31</v>
      </c>
      <c r="L183" s="2" t="s">
        <v>32</v>
      </c>
      <c r="M183" s="2" t="s">
        <v>33</v>
      </c>
      <c r="N183" s="2" t="s">
        <v>1076</v>
      </c>
      <c r="O183" s="2"/>
      <c r="P183" s="2"/>
      <c r="Q183" s="2"/>
      <c r="R183" s="2">
        <v>0.0</v>
      </c>
      <c r="S183" s="2"/>
      <c r="T183" s="2"/>
      <c r="U183" s="2"/>
      <c r="V183" s="2"/>
    </row>
    <row r="184">
      <c r="A184" s="2" t="s">
        <v>1077</v>
      </c>
      <c r="B184" s="2" t="s">
        <v>1078</v>
      </c>
      <c r="C184" s="2" t="s">
        <v>645</v>
      </c>
      <c r="D184" s="2" t="s">
        <v>25</v>
      </c>
      <c r="E184" s="2" t="s">
        <v>646</v>
      </c>
      <c r="F184" s="2" t="s">
        <v>1079</v>
      </c>
      <c r="G184" s="2" t="s">
        <v>1080</v>
      </c>
      <c r="H184" s="2" t="s">
        <v>1081</v>
      </c>
      <c r="I184" s="2" t="s">
        <v>30</v>
      </c>
      <c r="J184" s="3" t="str">
        <f>HYPERLINK("https://viborg-folkeblad.dk/debat/laeserbrev-kommentarer-til-sundhedsprofilen-hvordan-har-du-det", "Læs artikel")</f>
        <v>Læs artikel</v>
      </c>
      <c r="K184" s="2" t="s">
        <v>31</v>
      </c>
      <c r="L184" s="2" t="s">
        <v>32</v>
      </c>
      <c r="M184" s="2" t="s">
        <v>33</v>
      </c>
      <c r="N184" s="2" t="s">
        <v>1082</v>
      </c>
      <c r="O184" s="2" t="s">
        <v>35</v>
      </c>
      <c r="P184" s="2" t="s">
        <v>287</v>
      </c>
      <c r="Q184" s="2"/>
      <c r="R184" s="2">
        <v>42.0</v>
      </c>
      <c r="S184" s="2" t="s">
        <v>88</v>
      </c>
      <c r="T184" s="2"/>
      <c r="U184" s="2"/>
      <c r="V184" s="2"/>
    </row>
    <row r="185">
      <c r="A185" s="2" t="s">
        <v>1083</v>
      </c>
      <c r="B185" s="2" t="s">
        <v>1084</v>
      </c>
      <c r="C185" s="2" t="s">
        <v>527</v>
      </c>
      <c r="D185" s="2" t="s">
        <v>123</v>
      </c>
      <c r="E185" s="2"/>
      <c r="F185" s="2" t="s">
        <v>1085</v>
      </c>
      <c r="G185" s="2" t="s">
        <v>1086</v>
      </c>
      <c r="H185" s="2" t="s">
        <v>1087</v>
      </c>
      <c r="I185" s="2" t="s">
        <v>30</v>
      </c>
      <c r="J185" s="3" t="str">
        <f>HYPERLINK("https://www.kristeligt-dagblad.dk/debat/skriv-om-en-beslutning-der-formede-livet-og-vind-10000-kroner", "Læs artikel")</f>
        <v>Læs artikel</v>
      </c>
      <c r="K185" s="2" t="s">
        <v>31</v>
      </c>
      <c r="L185" s="2" t="s">
        <v>32</v>
      </c>
      <c r="M185" s="2" t="s">
        <v>33</v>
      </c>
      <c r="N185" s="2" t="s">
        <v>1088</v>
      </c>
      <c r="O185" s="2" t="s">
        <v>35</v>
      </c>
      <c r="P185" s="2"/>
      <c r="Q185" s="2"/>
      <c r="R185" s="2">
        <v>0.0</v>
      </c>
      <c r="S185" s="2"/>
      <c r="T185" s="2"/>
      <c r="U185" s="2"/>
      <c r="V185" s="2"/>
    </row>
    <row r="186">
      <c r="A186" s="2" t="s">
        <v>1089</v>
      </c>
      <c r="B186" s="2" t="s">
        <v>1090</v>
      </c>
      <c r="C186" s="2" t="s">
        <v>399</v>
      </c>
      <c r="D186" s="2" t="s">
        <v>25</v>
      </c>
      <c r="E186" s="2" t="s">
        <v>400</v>
      </c>
      <c r="F186" s="2" t="s">
        <v>1091</v>
      </c>
      <c r="G186" s="2"/>
      <c r="H186" s="2" t="s">
        <v>1092</v>
      </c>
      <c r="I186" s="2" t="s">
        <v>30</v>
      </c>
      <c r="J186" s="3" t="str">
        <f>HYPERLINK("https://stiften.dk/debat/foraeldrene-har-ret-vi-skylder-en-tydelig-plan-for-dagtilbuddene", "Læs artikel")</f>
        <v>Læs artikel</v>
      </c>
      <c r="K186" s="2" t="s">
        <v>31</v>
      </c>
      <c r="L186" s="2" t="s">
        <v>32</v>
      </c>
      <c r="M186" s="2" t="s">
        <v>33</v>
      </c>
      <c r="N186" s="2" t="s">
        <v>1093</v>
      </c>
      <c r="O186" s="2" t="s">
        <v>35</v>
      </c>
      <c r="P186" s="2" t="s">
        <v>118</v>
      </c>
      <c r="Q186" s="2"/>
      <c r="R186" s="2">
        <v>40.0</v>
      </c>
      <c r="S186" s="2" t="s">
        <v>575</v>
      </c>
      <c r="T186" s="2"/>
      <c r="U186" s="2"/>
      <c r="V186" s="2"/>
    </row>
    <row r="187">
      <c r="A187" s="2" t="s">
        <v>1094</v>
      </c>
      <c r="B187" s="2" t="s">
        <v>1095</v>
      </c>
      <c r="C187" s="2" t="s">
        <v>391</v>
      </c>
      <c r="D187" s="2" t="s">
        <v>25</v>
      </c>
      <c r="E187" s="2" t="s">
        <v>392</v>
      </c>
      <c r="F187" s="2" t="s">
        <v>1096</v>
      </c>
      <c r="G187" s="2" t="s">
        <v>1097</v>
      </c>
      <c r="H187" s="2"/>
      <c r="I187" s="2" t="s">
        <v>395</v>
      </c>
      <c r="J187" s="3" t="str">
        <f>HYPERLINK("https://fyens.dk/debat/tina-maa-gerne-vise-sin-hobby-frem-ogsaa-selvom-hun-er-foertidspensionist", "Læs artikel")</f>
        <v>Læs artikel</v>
      </c>
      <c r="K187" s="2" t="s">
        <v>31</v>
      </c>
      <c r="L187" s="2" t="s">
        <v>32</v>
      </c>
      <c r="M187" s="2" t="s">
        <v>33</v>
      </c>
      <c r="N187" s="2" t="s">
        <v>1098</v>
      </c>
      <c r="O187" s="2"/>
      <c r="P187" s="2" t="s">
        <v>118</v>
      </c>
      <c r="Q187" s="2"/>
      <c r="R187" s="2">
        <v>22.0</v>
      </c>
      <c r="S187" s="2" t="s">
        <v>119</v>
      </c>
      <c r="T187" s="2"/>
      <c r="U187" s="2"/>
      <c r="V187" s="2"/>
    </row>
    <row r="188">
      <c r="A188" s="2" t="s">
        <v>1099</v>
      </c>
      <c r="B188" s="2" t="s">
        <v>1100</v>
      </c>
      <c r="C188" s="2" t="s">
        <v>407</v>
      </c>
      <c r="D188" s="2" t="s">
        <v>25</v>
      </c>
      <c r="E188" s="2" t="s">
        <v>408</v>
      </c>
      <c r="F188" s="2" t="s">
        <v>1101</v>
      </c>
      <c r="G188" s="2" t="s">
        <v>452</v>
      </c>
      <c r="H188" s="2" t="s">
        <v>1102</v>
      </c>
      <c r="I188" s="2" t="s">
        <v>30</v>
      </c>
      <c r="J188" s="3" t="str">
        <f>HYPERLINK("https://nordjyske.dk/nyheder/nordjylland/analyse-rammer-et-oemt-punkt-nordjylland-mangler-stadig-at-samle-sine-vaekstambitioner/6043277", "Læs artikel")</f>
        <v>Læs artikel</v>
      </c>
      <c r="K188" s="2" t="s">
        <v>31</v>
      </c>
      <c r="L188" s="2" t="s">
        <v>32</v>
      </c>
      <c r="M188" s="2" t="s">
        <v>33</v>
      </c>
      <c r="N188" s="2" t="s">
        <v>1103</v>
      </c>
      <c r="O188" s="2" t="s">
        <v>35</v>
      </c>
      <c r="P188" s="2" t="s">
        <v>801</v>
      </c>
      <c r="Q188" s="2" t="s">
        <v>713</v>
      </c>
      <c r="R188" s="2">
        <v>0.0</v>
      </c>
      <c r="S188" s="2"/>
      <c r="T188" s="2"/>
      <c r="U188" s="2"/>
      <c r="V188" s="2"/>
    </row>
    <row r="189">
      <c r="A189" s="2" t="s">
        <v>1104</v>
      </c>
      <c r="B189" s="2" t="s">
        <v>1105</v>
      </c>
      <c r="C189" s="2" t="s">
        <v>645</v>
      </c>
      <c r="D189" s="2" t="s">
        <v>25</v>
      </c>
      <c r="E189" s="2" t="s">
        <v>646</v>
      </c>
      <c r="F189" s="2" t="s">
        <v>1106</v>
      </c>
      <c r="G189" s="2" t="s">
        <v>1107</v>
      </c>
      <c r="H189" s="2" t="s">
        <v>1108</v>
      </c>
      <c r="I189" s="2" t="s">
        <v>30</v>
      </c>
      <c r="J189" s="3" t="str">
        <f>HYPERLINK("https://viborg-folkeblad.dk/debat/laeserbrev-ulven-kommer-ja", "Læs artikel")</f>
        <v>Læs artikel</v>
      </c>
      <c r="K189" s="2" t="s">
        <v>31</v>
      </c>
      <c r="L189" s="2" t="s">
        <v>32</v>
      </c>
      <c r="M189" s="2" t="s">
        <v>33</v>
      </c>
      <c r="N189" s="2" t="s">
        <v>1109</v>
      </c>
      <c r="O189" s="2" t="s">
        <v>35</v>
      </c>
      <c r="P189" s="2" t="s">
        <v>41</v>
      </c>
      <c r="Q189" s="2"/>
      <c r="R189" s="2">
        <v>12.0</v>
      </c>
      <c r="S189" s="2" t="s">
        <v>42</v>
      </c>
      <c r="T189" s="2" t="s">
        <v>1065</v>
      </c>
      <c r="U189" s="2"/>
      <c r="V189" s="2"/>
    </row>
    <row r="190">
      <c r="A190" s="2" t="s">
        <v>1110</v>
      </c>
      <c r="B190" s="2" t="s">
        <v>1111</v>
      </c>
      <c r="C190" s="2" t="s">
        <v>399</v>
      </c>
      <c r="D190" s="2" t="s">
        <v>25</v>
      </c>
      <c r="E190" s="2" t="s">
        <v>400</v>
      </c>
      <c r="F190" s="2" t="s">
        <v>1112</v>
      </c>
      <c r="G190" s="2"/>
      <c r="H190" s="2" t="s">
        <v>1113</v>
      </c>
      <c r="I190" s="2" t="s">
        <v>30</v>
      </c>
      <c r="J190" s="3" t="str">
        <f>HYPERLINK("https://stiften.dk/debat/kaere-politikere-vores-liv-ligger-i-jeres-haender", "Læs artikel")</f>
        <v>Læs artikel</v>
      </c>
      <c r="K190" s="2" t="s">
        <v>31</v>
      </c>
      <c r="L190" s="2" t="s">
        <v>32</v>
      </c>
      <c r="M190" s="2" t="s">
        <v>33</v>
      </c>
      <c r="N190" s="2" t="s">
        <v>1114</v>
      </c>
      <c r="O190" s="2" t="s">
        <v>35</v>
      </c>
      <c r="P190" s="2" t="s">
        <v>104</v>
      </c>
      <c r="Q190" s="2"/>
      <c r="R190" s="2">
        <v>54.0</v>
      </c>
      <c r="S190" s="2" t="s">
        <v>105</v>
      </c>
      <c r="T190" s="2"/>
      <c r="U190" s="2"/>
      <c r="V190" s="2"/>
    </row>
    <row r="191">
      <c r="A191" s="2" t="s">
        <v>1115</v>
      </c>
      <c r="B191" s="2" t="s">
        <v>1116</v>
      </c>
      <c r="C191" s="2" t="s">
        <v>399</v>
      </c>
      <c r="D191" s="2" t="s">
        <v>25</v>
      </c>
      <c r="E191" s="2" t="s">
        <v>400</v>
      </c>
      <c r="F191" s="2" t="s">
        <v>1117</v>
      </c>
      <c r="G191" s="2" t="s">
        <v>861</v>
      </c>
      <c r="H191" s="2"/>
      <c r="I191" s="2" t="s">
        <v>395</v>
      </c>
      <c r="J191" s="3" t="str">
        <f>HYPERLINK("https://stiften.dk/debat/hvor-maa-det-vaere-fristende-for-partilederne-at-forestille-sig-et-alfabet-uden-et-m", "Læs artikel")</f>
        <v>Læs artikel</v>
      </c>
      <c r="K191" s="2" t="s">
        <v>31</v>
      </c>
      <c r="L191" s="2" t="s">
        <v>32</v>
      </c>
      <c r="M191" s="2" t="s">
        <v>33</v>
      </c>
      <c r="N191" s="2" t="s">
        <v>1118</v>
      </c>
      <c r="O191" s="2"/>
      <c r="P191" s="2" t="s">
        <v>133</v>
      </c>
      <c r="Q191" s="2"/>
      <c r="R191" s="2">
        <v>22.0</v>
      </c>
      <c r="S191" s="2" t="s">
        <v>119</v>
      </c>
      <c r="T191" s="2"/>
      <c r="U191" s="2"/>
      <c r="V191" s="2"/>
    </row>
    <row r="192">
      <c r="A192" s="2" t="s">
        <v>1119</v>
      </c>
      <c r="B192" s="2" t="s">
        <v>1116</v>
      </c>
      <c r="C192" s="2" t="s">
        <v>391</v>
      </c>
      <c r="D192" s="2" t="s">
        <v>25</v>
      </c>
      <c r="E192" s="2" t="s">
        <v>392</v>
      </c>
      <c r="F192" s="2" t="s">
        <v>1117</v>
      </c>
      <c r="G192" s="2" t="s">
        <v>861</v>
      </c>
      <c r="H192" s="2"/>
      <c r="I192" s="2" t="s">
        <v>395</v>
      </c>
      <c r="J192" s="3" t="str">
        <f>HYPERLINK("https://fyens.dk/debat/hvor-maa-det-vaere-fristende-for-partilederne-at-forestille-sig-et-alfabet-uden-et-m", "Læs artikel")</f>
        <v>Læs artikel</v>
      </c>
      <c r="K192" s="2" t="s">
        <v>31</v>
      </c>
      <c r="L192" s="2" t="s">
        <v>32</v>
      </c>
      <c r="M192" s="2" t="s">
        <v>33</v>
      </c>
      <c r="N192" s="2" t="s">
        <v>1120</v>
      </c>
      <c r="O192" s="2"/>
      <c r="P192" s="2" t="s">
        <v>133</v>
      </c>
      <c r="Q192" s="2"/>
      <c r="R192" s="2">
        <v>22.0</v>
      </c>
      <c r="S192" s="2" t="s">
        <v>119</v>
      </c>
      <c r="T192" s="2"/>
      <c r="U192" s="2"/>
      <c r="V192" s="2"/>
    </row>
    <row r="193">
      <c r="A193" s="2" t="s">
        <v>1121</v>
      </c>
      <c r="B193" s="2" t="s">
        <v>1122</v>
      </c>
      <c r="C193" s="2" t="s">
        <v>391</v>
      </c>
      <c r="D193" s="2" t="s">
        <v>25</v>
      </c>
      <c r="E193" s="2" t="s">
        <v>392</v>
      </c>
      <c r="F193" s="2" t="s">
        <v>1123</v>
      </c>
      <c r="G193" s="2" t="s">
        <v>1124</v>
      </c>
      <c r="H193" s="2" t="s">
        <v>1125</v>
      </c>
      <c r="I193" s="2" t="s">
        <v>30</v>
      </c>
      <c r="J193" s="3" t="str">
        <f>HYPERLINK("https://fyens.dk/debat/kommunalt-benspaend", "Læs artikel")</f>
        <v>Læs artikel</v>
      </c>
      <c r="K193" s="2" t="s">
        <v>31</v>
      </c>
      <c r="L193" s="2" t="s">
        <v>32</v>
      </c>
      <c r="M193" s="2" t="s">
        <v>33</v>
      </c>
      <c r="N193" s="2" t="s">
        <v>1126</v>
      </c>
      <c r="O193" s="2" t="s">
        <v>35</v>
      </c>
      <c r="P193" s="2" t="s">
        <v>104</v>
      </c>
      <c r="Q193" s="2"/>
      <c r="R193" s="2">
        <v>54.0</v>
      </c>
      <c r="S193" s="2" t="s">
        <v>105</v>
      </c>
      <c r="T193" s="2"/>
      <c r="U193" s="2"/>
      <c r="V193" s="2"/>
    </row>
    <row r="194">
      <c r="A194" s="2" t="s">
        <v>1127</v>
      </c>
      <c r="B194" s="2" t="s">
        <v>1128</v>
      </c>
      <c r="C194" s="2" t="s">
        <v>407</v>
      </c>
      <c r="D194" s="2" t="s">
        <v>25</v>
      </c>
      <c r="E194" s="2" t="s">
        <v>408</v>
      </c>
      <c r="F194" s="2" t="s">
        <v>1129</v>
      </c>
      <c r="G194" s="2" t="s">
        <v>452</v>
      </c>
      <c r="H194" s="2" t="s">
        <v>1130</v>
      </c>
      <c r="I194" s="2" t="s">
        <v>30</v>
      </c>
      <c r="J194" s="3" t="str">
        <f>HYPERLINK("https://nordjyske.dk/nyheder/nordjylland/mor-i-hjoerring-folkeskolen-betaler-prisen-for-kommunens-fejlslagne-prioriteringer/6042348", "Læs artikel")</f>
        <v>Læs artikel</v>
      </c>
      <c r="K194" s="2" t="s">
        <v>31</v>
      </c>
      <c r="L194" s="2" t="s">
        <v>32</v>
      </c>
      <c r="M194" s="2" t="s">
        <v>33</v>
      </c>
      <c r="N194" s="2" t="s">
        <v>1131</v>
      </c>
      <c r="O194" s="2" t="s">
        <v>35</v>
      </c>
      <c r="P194" s="2" t="s">
        <v>1132</v>
      </c>
      <c r="Q194" s="2"/>
      <c r="R194" s="2">
        <v>58.0</v>
      </c>
      <c r="S194" s="2" t="s">
        <v>1133</v>
      </c>
      <c r="T194" s="2"/>
      <c r="U194" s="2"/>
      <c r="V194" s="2"/>
    </row>
    <row r="195">
      <c r="A195" s="2" t="s">
        <v>1134</v>
      </c>
      <c r="B195" s="2" t="s">
        <v>1135</v>
      </c>
      <c r="C195" s="2" t="s">
        <v>407</v>
      </c>
      <c r="D195" s="2" t="s">
        <v>25</v>
      </c>
      <c r="E195" s="2" t="s">
        <v>408</v>
      </c>
      <c r="F195" s="2" t="s">
        <v>1136</v>
      </c>
      <c r="G195" s="2" t="s">
        <v>452</v>
      </c>
      <c r="H195" s="2" t="s">
        <v>1137</v>
      </c>
      <c r="I195" s="2" t="s">
        <v>30</v>
      </c>
      <c r="J195" s="3" t="str">
        <f>HYPERLINK("https://nordjyske.dk/nyheder/nordjylland/laeser-derfor-staar-bob-dylans-mr-tambourine-man-oeverst-paa-min-hitliste/6042438", "Læs artikel")</f>
        <v>Læs artikel</v>
      </c>
      <c r="K195" s="2" t="s">
        <v>31</v>
      </c>
      <c r="L195" s="2" t="s">
        <v>32</v>
      </c>
      <c r="M195" s="2" t="s">
        <v>33</v>
      </c>
      <c r="N195" s="2" t="s">
        <v>1138</v>
      </c>
      <c r="O195" s="2" t="s">
        <v>35</v>
      </c>
      <c r="P195" s="2"/>
      <c r="Q195" s="2"/>
      <c r="R195" s="2">
        <v>0.0</v>
      </c>
      <c r="S195" s="2"/>
      <c r="T195" s="2"/>
      <c r="U195" s="2"/>
      <c r="V195" s="2"/>
    </row>
    <row r="196">
      <c r="A196" s="2" t="s">
        <v>1139</v>
      </c>
      <c r="B196" s="2" t="s">
        <v>1140</v>
      </c>
      <c r="C196" s="2" t="s">
        <v>407</v>
      </c>
      <c r="D196" s="2" t="s">
        <v>25</v>
      </c>
      <c r="E196" s="2" t="s">
        <v>408</v>
      </c>
      <c r="F196" s="2" t="s">
        <v>1141</v>
      </c>
      <c r="G196" s="2" t="s">
        <v>452</v>
      </c>
      <c r="H196" s="2" t="s">
        <v>1142</v>
      </c>
      <c r="I196" s="2" t="s">
        <v>30</v>
      </c>
      <c r="J196" s="3" t="str">
        <f>HYPERLINK("https://nordjyske.dk/nyheder/nordjylland/laeserbrev-asbest-fra-gamle-depoter-kan-blive-et-overset-problem-ved-egholm-motorvej/6041538", "Læs artikel")</f>
        <v>Læs artikel</v>
      </c>
      <c r="K196" s="2" t="s">
        <v>31</v>
      </c>
      <c r="L196" s="2" t="s">
        <v>32</v>
      </c>
      <c r="M196" s="2" t="s">
        <v>33</v>
      </c>
      <c r="N196" s="2" t="s">
        <v>1143</v>
      </c>
      <c r="O196" s="2" t="s">
        <v>35</v>
      </c>
      <c r="P196" s="2" t="s">
        <v>801</v>
      </c>
      <c r="Q196" s="2" t="s">
        <v>1144</v>
      </c>
      <c r="R196" s="2">
        <v>0.0</v>
      </c>
      <c r="S196" s="2"/>
      <c r="T196" s="2"/>
      <c r="U196" s="2"/>
      <c r="V196" s="2"/>
    </row>
    <row r="197">
      <c r="A197" s="2" t="s">
        <v>1145</v>
      </c>
      <c r="B197" s="2" t="s">
        <v>1146</v>
      </c>
      <c r="C197" s="2" t="s">
        <v>391</v>
      </c>
      <c r="D197" s="2" t="s">
        <v>25</v>
      </c>
      <c r="E197" s="2" t="s">
        <v>392</v>
      </c>
      <c r="F197" s="2" t="s">
        <v>1147</v>
      </c>
      <c r="G197" s="2" t="s">
        <v>1148</v>
      </c>
      <c r="H197" s="2" t="s">
        <v>1149</v>
      </c>
      <c r="I197" s="2" t="s">
        <v>30</v>
      </c>
      <c r="J197" s="3" t="str">
        <f>HYPERLINK("https://fyens.dk/debat/skurvognsbyen-det-klaeder-ikke-debatten-naar-fokus-flyttes-fra-indhold-til-forargelse-over-et-ord", "Læs artikel")</f>
        <v>Læs artikel</v>
      </c>
      <c r="K197" s="2" t="s">
        <v>31</v>
      </c>
      <c r="L197" s="2" t="s">
        <v>32</v>
      </c>
      <c r="M197" s="2" t="s">
        <v>33</v>
      </c>
      <c r="N197" s="2" t="s">
        <v>1150</v>
      </c>
      <c r="O197" s="2" t="s">
        <v>35</v>
      </c>
      <c r="P197" s="2" t="s">
        <v>287</v>
      </c>
      <c r="Q197" s="2" t="s">
        <v>732</v>
      </c>
      <c r="R197" s="2">
        <v>80.0</v>
      </c>
      <c r="S197" s="2" t="s">
        <v>1151</v>
      </c>
      <c r="T197" s="2"/>
      <c r="U197" s="2"/>
      <c r="V197" s="2"/>
    </row>
    <row r="198">
      <c r="A198" s="2" t="s">
        <v>1152</v>
      </c>
      <c r="B198" s="2" t="s">
        <v>1153</v>
      </c>
      <c r="C198" s="2" t="s">
        <v>645</v>
      </c>
      <c r="D198" s="2" t="s">
        <v>25</v>
      </c>
      <c r="E198" s="2" t="s">
        <v>646</v>
      </c>
      <c r="F198" s="2" t="s">
        <v>1154</v>
      </c>
      <c r="G198" s="2" t="s">
        <v>1155</v>
      </c>
      <c r="H198" s="2" t="s">
        <v>1156</v>
      </c>
      <c r="I198" s="2" t="s">
        <v>30</v>
      </c>
      <c r="J198" s="3" t="str">
        <f>HYPERLINK("https://viborg-folkeblad.dk/debat/laeserbrev-fra-tidligere-laerer-festival-var-en-snoldet-fejring-af-viborg-katedralskole", "Læs artikel")</f>
        <v>Læs artikel</v>
      </c>
      <c r="K198" s="2" t="s">
        <v>31</v>
      </c>
      <c r="L198" s="2" t="s">
        <v>32</v>
      </c>
      <c r="M198" s="2" t="s">
        <v>33</v>
      </c>
      <c r="N198" s="2" t="s">
        <v>1157</v>
      </c>
      <c r="O198" s="2" t="s">
        <v>35</v>
      </c>
      <c r="P198" s="2" t="s">
        <v>517</v>
      </c>
      <c r="Q198" s="2"/>
      <c r="R198" s="2">
        <v>0.0</v>
      </c>
      <c r="S198" s="2"/>
      <c r="T198" s="2"/>
      <c r="U198" s="2"/>
      <c r="V198" s="2"/>
    </row>
    <row r="199">
      <c r="A199" s="2" t="s">
        <v>1158</v>
      </c>
      <c r="B199" s="2" t="s">
        <v>1159</v>
      </c>
      <c r="C199" s="2" t="s">
        <v>391</v>
      </c>
      <c r="D199" s="2" t="s">
        <v>25</v>
      </c>
      <c r="E199" s="2" t="s">
        <v>392</v>
      </c>
      <c r="F199" s="2" t="s">
        <v>1160</v>
      </c>
      <c r="G199" s="2" t="s">
        <v>1161</v>
      </c>
      <c r="H199" s="2"/>
      <c r="I199" s="2" t="s">
        <v>234</v>
      </c>
      <c r="J199" s="3" t="str">
        <f>HYPERLINK("https://fyens.dk/debat/alle-de-andre-blev-revet-ned-her-er-vejles-sidste-koebmandsgaard", "Læs artikel")</f>
        <v>Læs artikel</v>
      </c>
      <c r="K199" s="2" t="s">
        <v>31</v>
      </c>
      <c r="L199" s="2" t="s">
        <v>32</v>
      </c>
      <c r="M199" s="2" t="s">
        <v>33</v>
      </c>
      <c r="N199" s="2" t="s">
        <v>1162</v>
      </c>
      <c r="O199" s="2"/>
      <c r="P199" s="2"/>
      <c r="Q199" s="2"/>
      <c r="R199" s="2">
        <v>0.0</v>
      </c>
      <c r="S199" s="2"/>
      <c r="T199" s="2"/>
      <c r="U199" s="2"/>
      <c r="V199" s="2"/>
    </row>
    <row r="200">
      <c r="A200" s="2" t="s">
        <v>1163</v>
      </c>
      <c r="B200" s="2" t="s">
        <v>1164</v>
      </c>
      <c r="C200" s="2" t="s">
        <v>701</v>
      </c>
      <c r="D200" s="2" t="s">
        <v>25</v>
      </c>
      <c r="E200" s="2" t="s">
        <v>702</v>
      </c>
      <c r="F200" s="2" t="s">
        <v>1165</v>
      </c>
      <c r="G200" s="2" t="s">
        <v>1166</v>
      </c>
      <c r="H200" s="2"/>
      <c r="I200" s="2" t="s">
        <v>395</v>
      </c>
      <c r="J200" s="3" t="str">
        <f>HYPERLINK("https://jv.dk/debat/goer-noget-ulvene-maa-blive-opgave-nummer-1-for-ny-minister", "Læs artikel")</f>
        <v>Læs artikel</v>
      </c>
      <c r="K200" s="2" t="s">
        <v>31</v>
      </c>
      <c r="L200" s="2" t="s">
        <v>32</v>
      </c>
      <c r="M200" s="2" t="s">
        <v>33</v>
      </c>
      <c r="N200" s="2" t="s">
        <v>1167</v>
      </c>
      <c r="O200" s="2"/>
      <c r="P200" s="2" t="s">
        <v>133</v>
      </c>
      <c r="Q200" s="2"/>
      <c r="R200" s="2">
        <v>22.0</v>
      </c>
      <c r="S200" s="2" t="s">
        <v>119</v>
      </c>
      <c r="T200" s="2" t="s">
        <v>1065</v>
      </c>
      <c r="U200" s="2"/>
      <c r="V200" s="2"/>
    </row>
    <row r="201">
      <c r="A201" s="2" t="s">
        <v>1168</v>
      </c>
      <c r="B201" s="2" t="s">
        <v>1169</v>
      </c>
      <c r="C201" s="2" t="s">
        <v>701</v>
      </c>
      <c r="D201" s="2" t="s">
        <v>25</v>
      </c>
      <c r="E201" s="2" t="s">
        <v>702</v>
      </c>
      <c r="F201" s="2" t="s">
        <v>1170</v>
      </c>
      <c r="G201" s="2" t="s">
        <v>1171</v>
      </c>
      <c r="H201" s="2" t="s">
        <v>1172</v>
      </c>
      <c r="I201" s="2" t="s">
        <v>30</v>
      </c>
      <c r="J201" s="3" t="str">
        <f>HYPERLINK("https://jv.dk/debat/anbringelse-af-boern-et-systemisk-svigt", "Læs artikel")</f>
        <v>Læs artikel</v>
      </c>
      <c r="K201" s="2" t="s">
        <v>31</v>
      </c>
      <c r="L201" s="2" t="s">
        <v>32</v>
      </c>
      <c r="M201" s="2" t="s">
        <v>33</v>
      </c>
      <c r="N201" s="2" t="s">
        <v>1173</v>
      </c>
      <c r="O201" s="2" t="s">
        <v>35</v>
      </c>
      <c r="P201" s="2" t="s">
        <v>118</v>
      </c>
      <c r="Q201" s="2"/>
      <c r="R201" s="2">
        <v>48.0</v>
      </c>
      <c r="S201" s="2" t="s">
        <v>1174</v>
      </c>
      <c r="T201" s="2"/>
      <c r="U201" s="2"/>
      <c r="V201" s="2"/>
    </row>
    <row r="202">
      <c r="A202" s="2" t="s">
        <v>1175</v>
      </c>
      <c r="B202" s="2" t="s">
        <v>1176</v>
      </c>
      <c r="C202" s="2" t="s">
        <v>391</v>
      </c>
      <c r="D202" s="2" t="s">
        <v>25</v>
      </c>
      <c r="E202" s="2" t="s">
        <v>392</v>
      </c>
      <c r="F202" s="2" t="s">
        <v>1177</v>
      </c>
      <c r="G202" s="2" t="s">
        <v>1178</v>
      </c>
      <c r="H202" s="2"/>
      <c r="I202" s="2" t="s">
        <v>395</v>
      </c>
      <c r="J202" s="3" t="str">
        <f>HYPERLINK("https://fyens.dk/debat/opmaerksomheden-samler-sig-om-de-store-festivaler-men-bredden-i-kulturlivet-skabes-af-de-smaa", "Læs artikel")</f>
        <v>Læs artikel</v>
      </c>
      <c r="K202" s="2" t="s">
        <v>31</v>
      </c>
      <c r="L202" s="2" t="s">
        <v>32</v>
      </c>
      <c r="M202" s="2" t="s">
        <v>33</v>
      </c>
      <c r="N202" s="2" t="s">
        <v>1179</v>
      </c>
      <c r="O202" s="2"/>
      <c r="P202" s="2" t="s">
        <v>243</v>
      </c>
      <c r="Q202" s="2"/>
      <c r="R202" s="2">
        <v>0.0</v>
      </c>
      <c r="S202" s="2"/>
      <c r="T202" s="2"/>
      <c r="U202" s="2"/>
      <c r="V202" s="2"/>
    </row>
    <row r="203">
      <c r="A203" s="2" t="s">
        <v>1180</v>
      </c>
      <c r="B203" s="2" t="s">
        <v>1181</v>
      </c>
      <c r="C203" s="2" t="s">
        <v>701</v>
      </c>
      <c r="D203" s="2" t="s">
        <v>25</v>
      </c>
      <c r="E203" s="2" t="s">
        <v>702</v>
      </c>
      <c r="F203" s="2" t="s">
        <v>1182</v>
      </c>
      <c r="G203" s="2"/>
      <c r="H203" s="2" t="s">
        <v>1183</v>
      </c>
      <c r="I203" s="2" t="s">
        <v>30</v>
      </c>
      <c r="J203" s="3" t="str">
        <f>HYPERLINK("https://jv.dk/debat/indtraengende-appel", "Læs artikel")</f>
        <v>Læs artikel</v>
      </c>
      <c r="K203" s="2" t="s">
        <v>31</v>
      </c>
      <c r="L203" s="2" t="s">
        <v>32</v>
      </c>
      <c r="M203" s="2" t="s">
        <v>33</v>
      </c>
      <c r="N203" s="2" t="s">
        <v>1184</v>
      </c>
      <c r="O203" s="2" t="s">
        <v>35</v>
      </c>
      <c r="P203" s="2"/>
      <c r="Q203" s="2"/>
      <c r="R203" s="2">
        <v>0.0</v>
      </c>
      <c r="S203" s="2"/>
      <c r="T203" s="2"/>
      <c r="U203" s="2"/>
      <c r="V203" s="2"/>
    </row>
    <row r="204">
      <c r="A204" s="2" t="s">
        <v>1185</v>
      </c>
      <c r="B204" s="2" t="s">
        <v>1186</v>
      </c>
      <c r="C204" s="2" t="s">
        <v>399</v>
      </c>
      <c r="D204" s="2" t="s">
        <v>25</v>
      </c>
      <c r="E204" s="2" t="s">
        <v>400</v>
      </c>
      <c r="F204" s="2" t="s">
        <v>1187</v>
      </c>
      <c r="G204" s="2" t="s">
        <v>861</v>
      </c>
      <c r="H204" s="2"/>
      <c r="I204" s="2" t="s">
        <v>395</v>
      </c>
      <c r="J204" s="3" t="str">
        <f>HYPERLINK("https://stiften.dk/debat/dr-har-et-aar-til-at-faa-proportionerne-for-melodi-grand-prix-paa-plads-og-vi-andre-har-fred-saa-laenge", "Læs artikel")</f>
        <v>Læs artikel</v>
      </c>
      <c r="K204" s="2" t="s">
        <v>31</v>
      </c>
      <c r="L204" s="2" t="s">
        <v>32</v>
      </c>
      <c r="M204" s="2" t="s">
        <v>33</v>
      </c>
      <c r="N204" s="2" t="s">
        <v>1188</v>
      </c>
      <c r="O204" s="2"/>
      <c r="P204" s="2"/>
      <c r="Q204" s="2"/>
      <c r="R204" s="2">
        <v>0.0</v>
      </c>
      <c r="S204" s="2"/>
      <c r="T204" s="2"/>
      <c r="U204" s="2"/>
      <c r="V204" s="2"/>
    </row>
    <row r="205">
      <c r="A205" s="2" t="s">
        <v>1189</v>
      </c>
      <c r="B205" s="2" t="s">
        <v>1186</v>
      </c>
      <c r="C205" s="2" t="s">
        <v>391</v>
      </c>
      <c r="D205" s="2" t="s">
        <v>25</v>
      </c>
      <c r="E205" s="2" t="s">
        <v>392</v>
      </c>
      <c r="F205" s="2" t="s">
        <v>1187</v>
      </c>
      <c r="G205" s="2" t="s">
        <v>861</v>
      </c>
      <c r="H205" s="2"/>
      <c r="I205" s="2" t="s">
        <v>395</v>
      </c>
      <c r="J205" s="3" t="str">
        <f>HYPERLINK("https://fyens.dk/debat/dr-har-et-aar-til-at-faa-proportionerne-for-melodi-grand-prix-paa-plads-og-vi-andre-har-fred-saa-laenge", "Læs artikel")</f>
        <v>Læs artikel</v>
      </c>
      <c r="K205" s="2" t="s">
        <v>31</v>
      </c>
      <c r="L205" s="2" t="s">
        <v>32</v>
      </c>
      <c r="M205" s="2" t="s">
        <v>33</v>
      </c>
      <c r="N205" s="2" t="s">
        <v>1190</v>
      </c>
      <c r="O205" s="2"/>
      <c r="P205" s="2"/>
      <c r="Q205" s="2"/>
      <c r="R205" s="2">
        <v>0.0</v>
      </c>
      <c r="S205" s="2"/>
      <c r="T205" s="2"/>
      <c r="U205" s="2"/>
      <c r="V205" s="2"/>
    </row>
    <row r="206">
      <c r="A206" s="2" t="s">
        <v>1191</v>
      </c>
      <c r="B206" s="2" t="s">
        <v>1192</v>
      </c>
      <c r="C206" s="2" t="s">
        <v>399</v>
      </c>
      <c r="D206" s="2" t="s">
        <v>25</v>
      </c>
      <c r="E206" s="2" t="s">
        <v>400</v>
      </c>
      <c r="F206" s="2" t="s">
        <v>1193</v>
      </c>
      <c r="G206" s="2" t="s">
        <v>1194</v>
      </c>
      <c r="H206" s="2"/>
      <c r="I206" s="2" t="s">
        <v>395</v>
      </c>
      <c r="J206" s="3" t="str">
        <f>HYPERLINK("https://stiften.dk/debat/drop-placeringen-paa-pier-3-men-hold-fast-i-droemmen-om-et-museum-i-superligaen", "Læs artikel")</f>
        <v>Læs artikel</v>
      </c>
      <c r="K206" s="2" t="s">
        <v>31</v>
      </c>
      <c r="L206" s="2" t="s">
        <v>32</v>
      </c>
      <c r="M206" s="2" t="s">
        <v>33</v>
      </c>
      <c r="N206" s="2" t="s">
        <v>1195</v>
      </c>
      <c r="O206" s="2"/>
      <c r="P206" s="2" t="s">
        <v>249</v>
      </c>
      <c r="Q206" s="2"/>
      <c r="R206" s="2">
        <v>0.0</v>
      </c>
      <c r="S206" s="2"/>
      <c r="T206" s="2"/>
      <c r="U206" s="2"/>
      <c r="V206" s="2"/>
    </row>
    <row r="207">
      <c r="A207" s="2" t="s">
        <v>1196</v>
      </c>
      <c r="B207" s="2" t="s">
        <v>1197</v>
      </c>
      <c r="C207" s="2" t="s">
        <v>391</v>
      </c>
      <c r="D207" s="2" t="s">
        <v>25</v>
      </c>
      <c r="E207" s="2" t="s">
        <v>392</v>
      </c>
      <c r="F207" s="2" t="s">
        <v>1198</v>
      </c>
      <c r="G207" s="2" t="s">
        <v>1199</v>
      </c>
      <c r="H207" s="2"/>
      <c r="I207" s="2" t="s">
        <v>395</v>
      </c>
      <c r="J207" s="3" t="str">
        <f>HYPERLINK("https://fyens.dk/debat/jelling-musikfestival-handler-om-meget-mere-end-musik-kaerester-og-alkohol", "Læs artikel")</f>
        <v>Læs artikel</v>
      </c>
      <c r="K207" s="2" t="s">
        <v>31</v>
      </c>
      <c r="L207" s="2" t="s">
        <v>32</v>
      </c>
      <c r="M207" s="2" t="s">
        <v>33</v>
      </c>
      <c r="N207" s="2" t="s">
        <v>1200</v>
      </c>
      <c r="O207" s="2"/>
      <c r="P207" s="2"/>
      <c r="Q207" s="2"/>
      <c r="R207" s="2">
        <v>0.0</v>
      </c>
      <c r="S207" s="2"/>
      <c r="T207" s="2"/>
      <c r="U207" s="2"/>
      <c r="V207" s="2"/>
    </row>
    <row r="208">
      <c r="A208" s="2" t="s">
        <v>1201</v>
      </c>
      <c r="B208" s="2" t="s">
        <v>1202</v>
      </c>
      <c r="C208" s="2" t="s">
        <v>645</v>
      </c>
      <c r="D208" s="2" t="s">
        <v>25</v>
      </c>
      <c r="E208" s="2" t="s">
        <v>646</v>
      </c>
      <c r="F208" s="2" t="s">
        <v>1203</v>
      </c>
      <c r="G208" s="2" t="s">
        <v>1204</v>
      </c>
      <c r="H208" s="2" t="s">
        <v>1205</v>
      </c>
      <c r="I208" s="2" t="s">
        <v>30</v>
      </c>
      <c r="J208" s="3" t="str">
        <f>HYPERLINK("https://viborg-folkeblad.dk/debat/laeserbrev-viborg-kan-blive-et-staerkt-midtjysk-kraftcenter", "Læs artikel")</f>
        <v>Læs artikel</v>
      </c>
      <c r="K208" s="2" t="s">
        <v>31</v>
      </c>
      <c r="L208" s="2" t="s">
        <v>32</v>
      </c>
      <c r="M208" s="2" t="s">
        <v>33</v>
      </c>
      <c r="N208" s="2" t="s">
        <v>1206</v>
      </c>
      <c r="O208" s="2" t="s">
        <v>35</v>
      </c>
      <c r="P208" s="2" t="s">
        <v>387</v>
      </c>
      <c r="Q208" s="2"/>
      <c r="R208" s="2">
        <v>10.0</v>
      </c>
      <c r="S208" s="2" t="s">
        <v>134</v>
      </c>
      <c r="T208" s="2"/>
      <c r="U208" s="2"/>
      <c r="V208" s="2"/>
    </row>
    <row r="209">
      <c r="A209" s="2" t="s">
        <v>1207</v>
      </c>
      <c r="B209" s="2" t="s">
        <v>1208</v>
      </c>
      <c r="C209" s="2" t="s">
        <v>391</v>
      </c>
      <c r="D209" s="2" t="s">
        <v>25</v>
      </c>
      <c r="E209" s="2" t="s">
        <v>392</v>
      </c>
      <c r="F209" s="2" t="s">
        <v>1209</v>
      </c>
      <c r="G209" s="2" t="s">
        <v>1210</v>
      </c>
      <c r="H209" s="2" t="s">
        <v>1211</v>
      </c>
      <c r="I209" s="2" t="s">
        <v>30</v>
      </c>
      <c r="J209" s="3" t="str">
        <f>HYPERLINK("https://fyens.dk/debat/naturen-vandt-over-ring-3-vest", "Læs artikel")</f>
        <v>Læs artikel</v>
      </c>
      <c r="K209" s="2" t="s">
        <v>31</v>
      </c>
      <c r="L209" s="2" t="s">
        <v>32</v>
      </c>
      <c r="M209" s="2" t="s">
        <v>33</v>
      </c>
      <c r="N209" s="2" t="s">
        <v>1212</v>
      </c>
      <c r="O209" s="2" t="s">
        <v>35</v>
      </c>
      <c r="P209" s="2" t="s">
        <v>280</v>
      </c>
      <c r="Q209" s="2" t="s">
        <v>497</v>
      </c>
      <c r="R209" s="2">
        <v>52.0</v>
      </c>
      <c r="S209" s="2" t="s">
        <v>57</v>
      </c>
      <c r="T209" s="2" t="s">
        <v>89</v>
      </c>
      <c r="U209" s="2"/>
      <c r="V209" s="2"/>
    </row>
    <row r="210">
      <c r="A210" s="2" t="s">
        <v>1213</v>
      </c>
      <c r="B210" s="2" t="s">
        <v>1214</v>
      </c>
      <c r="C210" s="2" t="s">
        <v>391</v>
      </c>
      <c r="D210" s="2" t="s">
        <v>25</v>
      </c>
      <c r="E210" s="2" t="s">
        <v>392</v>
      </c>
      <c r="F210" s="2" t="s">
        <v>1215</v>
      </c>
      <c r="G210" s="2" t="s">
        <v>1216</v>
      </c>
      <c r="H210" s="2"/>
      <c r="I210" s="2" t="s">
        <v>395</v>
      </c>
      <c r="J210" s="3" t="str">
        <f>HYPERLINK("https://fyens.dk/debat/de-goer-noget-helt-specielt-og-meget-vigtigt-stor-tak-for-dennis-ingrid-og-joergen", "Læs artikel")</f>
        <v>Læs artikel</v>
      </c>
      <c r="K210" s="2" t="s">
        <v>31</v>
      </c>
      <c r="L210" s="2" t="s">
        <v>32</v>
      </c>
      <c r="M210" s="2" t="s">
        <v>33</v>
      </c>
      <c r="N210" s="2" t="s">
        <v>1217</v>
      </c>
      <c r="O210" s="2"/>
      <c r="P210" s="2" t="s">
        <v>243</v>
      </c>
      <c r="Q210" s="2"/>
      <c r="R210" s="2">
        <v>0.0</v>
      </c>
      <c r="S210" s="2"/>
      <c r="T210" s="2"/>
      <c r="U210" s="2"/>
      <c r="V210" s="2"/>
    </row>
    <row r="211">
      <c r="A211" s="2" t="s">
        <v>1218</v>
      </c>
      <c r="B211" s="2" t="s">
        <v>1219</v>
      </c>
      <c r="C211" s="2" t="s">
        <v>391</v>
      </c>
      <c r="D211" s="2" t="s">
        <v>25</v>
      </c>
      <c r="E211" s="2" t="s">
        <v>392</v>
      </c>
      <c r="F211" s="2" t="s">
        <v>1220</v>
      </c>
      <c r="G211" s="2"/>
      <c r="H211" s="2"/>
      <c r="I211" s="2" t="s">
        <v>30</v>
      </c>
      <c r="J211" s="3" t="str">
        <f>HYPERLINK("https://fyens.dk/debat/befriende-aerlig-direktoer-i-vb-det-var-en-elendig-saeson", "Læs artikel")</f>
        <v>Læs artikel</v>
      </c>
      <c r="K211" s="2" t="s">
        <v>31</v>
      </c>
      <c r="L211" s="2" t="s">
        <v>32</v>
      </c>
      <c r="M211" s="2" t="s">
        <v>33</v>
      </c>
      <c r="N211" s="2" t="s">
        <v>1221</v>
      </c>
      <c r="O211" s="2" t="s">
        <v>35</v>
      </c>
      <c r="P211" s="2"/>
      <c r="Q211" s="2"/>
      <c r="R211" s="2">
        <v>0.0</v>
      </c>
      <c r="S211" s="2"/>
      <c r="T211" s="2"/>
      <c r="U211" s="2"/>
      <c r="V211" s="2"/>
    </row>
    <row r="212">
      <c r="A212" s="2" t="s">
        <v>1222</v>
      </c>
      <c r="B212" s="2" t="s">
        <v>1223</v>
      </c>
      <c r="C212" s="2" t="s">
        <v>399</v>
      </c>
      <c r="D212" s="2" t="s">
        <v>25</v>
      </c>
      <c r="E212" s="2" t="s">
        <v>400</v>
      </c>
      <c r="F212" s="2" t="s">
        <v>1224</v>
      </c>
      <c r="G212" s="2" t="s">
        <v>1225</v>
      </c>
      <c r="H212" s="2"/>
      <c r="I212" s="2" t="s">
        <v>395</v>
      </c>
      <c r="J212" s="3" t="str">
        <f>HYPERLINK("https://stiften.dk/debat/vi-har-vaennet-os-til-noget-der-burde-skabe-ramaskrig", "Læs artikel")</f>
        <v>Læs artikel</v>
      </c>
      <c r="K212" s="2" t="s">
        <v>31</v>
      </c>
      <c r="L212" s="2" t="s">
        <v>32</v>
      </c>
      <c r="M212" s="2" t="s">
        <v>33</v>
      </c>
      <c r="N212" s="2" t="s">
        <v>1226</v>
      </c>
      <c r="O212" s="2"/>
      <c r="P212" s="2" t="s">
        <v>1132</v>
      </c>
      <c r="Q212" s="2"/>
      <c r="R212" s="2">
        <v>32.0</v>
      </c>
      <c r="S212" s="2" t="s">
        <v>88</v>
      </c>
      <c r="T212" s="2"/>
      <c r="U212" s="2"/>
      <c r="V212" s="2"/>
    </row>
    <row r="213">
      <c r="A213" s="2" t="s">
        <v>1227</v>
      </c>
      <c r="B213" s="2" t="s">
        <v>1228</v>
      </c>
      <c r="C213" s="2" t="s">
        <v>645</v>
      </c>
      <c r="D213" s="2" t="s">
        <v>25</v>
      </c>
      <c r="E213" s="2" t="s">
        <v>646</v>
      </c>
      <c r="F213" s="2" t="s">
        <v>1229</v>
      </c>
      <c r="G213" s="2" t="s">
        <v>1230</v>
      </c>
      <c r="H213" s="2" t="s">
        <v>1231</v>
      </c>
      <c r="I213" s="2" t="s">
        <v>30</v>
      </c>
      <c r="J213" s="3" t="str">
        <f>HYPERLINK("https://viborg-folkeblad.dk/debat/laeserbrev-tjele-venstre-vil-sikre-rent-drikkevand-til-tjele-egnens-borgere", "Læs artikel")</f>
        <v>Læs artikel</v>
      </c>
      <c r="K213" s="2" t="s">
        <v>31</v>
      </c>
      <c r="L213" s="2" t="s">
        <v>32</v>
      </c>
      <c r="M213" s="2" t="s">
        <v>33</v>
      </c>
      <c r="N213" s="2" t="s">
        <v>1232</v>
      </c>
      <c r="O213" s="2" t="s">
        <v>35</v>
      </c>
      <c r="P213" s="2" t="s">
        <v>138</v>
      </c>
      <c r="Q213" s="2" t="s">
        <v>497</v>
      </c>
      <c r="R213" s="2">
        <v>88.0</v>
      </c>
      <c r="S213" s="2" t="s">
        <v>1233</v>
      </c>
      <c r="T213" s="2" t="s">
        <v>89</v>
      </c>
      <c r="U213" s="2"/>
      <c r="V213" s="2"/>
    </row>
    <row r="214">
      <c r="A214" s="2" t="s">
        <v>1234</v>
      </c>
      <c r="B214" s="2" t="s">
        <v>1235</v>
      </c>
      <c r="C214" s="2" t="s">
        <v>645</v>
      </c>
      <c r="D214" s="2" t="s">
        <v>25</v>
      </c>
      <c r="E214" s="2" t="s">
        <v>646</v>
      </c>
      <c r="F214" s="2" t="s">
        <v>1236</v>
      </c>
      <c r="G214" s="2" t="s">
        <v>1237</v>
      </c>
      <c r="H214" s="2" t="s">
        <v>1238</v>
      </c>
      <c r="I214" s="2" t="s">
        <v>30</v>
      </c>
      <c r="J214" s="3" t="str">
        <f>HYPERLINK("https://viborg-folkeblad.dk/debat/laeserbrev-vi-vil-have-glade-grise-under-aaben-himmel", "Læs artikel")</f>
        <v>Læs artikel</v>
      </c>
      <c r="K214" s="2" t="s">
        <v>31</v>
      </c>
      <c r="L214" s="2" t="s">
        <v>32</v>
      </c>
      <c r="M214" s="2" t="s">
        <v>33</v>
      </c>
      <c r="N214" s="2" t="s">
        <v>1239</v>
      </c>
      <c r="O214" s="2" t="s">
        <v>35</v>
      </c>
      <c r="P214" s="2"/>
      <c r="Q214" s="2"/>
      <c r="R214" s="2">
        <v>0.0</v>
      </c>
      <c r="S214" s="2"/>
      <c r="T214" s="2"/>
      <c r="U214" s="2"/>
      <c r="V214" s="2"/>
    </row>
    <row r="215">
      <c r="A215" s="2" t="s">
        <v>1240</v>
      </c>
      <c r="B215" s="2" t="s">
        <v>1241</v>
      </c>
      <c r="C215" s="2" t="s">
        <v>391</v>
      </c>
      <c r="D215" s="2" t="s">
        <v>25</v>
      </c>
      <c r="E215" s="2" t="s">
        <v>392</v>
      </c>
      <c r="F215" s="2" t="s">
        <v>1242</v>
      </c>
      <c r="G215" s="2" t="s">
        <v>1243</v>
      </c>
      <c r="H215" s="2"/>
      <c r="I215" s="2" t="s">
        <v>395</v>
      </c>
      <c r="J215" s="3" t="str">
        <f>HYPERLINK("https://fyens.dk/debat/efter-chok-og-kaeberasler-fra-novo-nordisk-og-vestas-fyn-skal-ikke-reddes-af-giganter-udefra", "Læs artikel")</f>
        <v>Læs artikel</v>
      </c>
      <c r="K215" s="2" t="s">
        <v>31</v>
      </c>
      <c r="L215" s="2" t="s">
        <v>32</v>
      </c>
      <c r="M215" s="2" t="s">
        <v>33</v>
      </c>
      <c r="N215" s="2" t="s">
        <v>1244</v>
      </c>
      <c r="O215" s="2"/>
      <c r="P215" s="2"/>
      <c r="Q215" s="2"/>
      <c r="R215" s="2">
        <v>0.0</v>
      </c>
      <c r="S215" s="2"/>
      <c r="T215" s="2"/>
      <c r="U215" s="2"/>
      <c r="V215" s="2"/>
    </row>
    <row r="216">
      <c r="A216" s="2" t="s">
        <v>1245</v>
      </c>
      <c r="B216" s="2" t="s">
        <v>1246</v>
      </c>
      <c r="C216" s="2" t="s">
        <v>645</v>
      </c>
      <c r="D216" s="2" t="s">
        <v>25</v>
      </c>
      <c r="E216" s="2" t="s">
        <v>646</v>
      </c>
      <c r="F216" s="2" t="s">
        <v>1247</v>
      </c>
      <c r="G216" s="2" t="s">
        <v>1248</v>
      </c>
      <c r="H216" s="2" t="s">
        <v>1249</v>
      </c>
      <c r="I216" s="2" t="s">
        <v>30</v>
      </c>
      <c r="J216" s="3" t="str">
        <f>HYPERLINK("https://viborg-folkeblad.dk/debat/laeserbrev-selvforsyning-paa-aarsplan-er-en-daarlig-energi-og-klimapolitik", "Læs artikel")</f>
        <v>Læs artikel</v>
      </c>
      <c r="K216" s="2" t="s">
        <v>31</v>
      </c>
      <c r="L216" s="2" t="s">
        <v>32</v>
      </c>
      <c r="M216" s="2" t="s">
        <v>33</v>
      </c>
      <c r="N216" s="2" t="s">
        <v>1250</v>
      </c>
      <c r="O216" s="2" t="s">
        <v>35</v>
      </c>
      <c r="P216" s="2" t="s">
        <v>1251</v>
      </c>
      <c r="Q216" s="2"/>
      <c r="R216" s="2">
        <v>60.0</v>
      </c>
      <c r="S216" s="2" t="s">
        <v>1252</v>
      </c>
      <c r="T216" s="2"/>
      <c r="U216" s="2"/>
      <c r="V216" s="2"/>
    </row>
    <row r="217">
      <c r="A217" s="2" t="s">
        <v>1253</v>
      </c>
      <c r="B217" s="2" t="s">
        <v>1254</v>
      </c>
      <c r="C217" s="2" t="s">
        <v>391</v>
      </c>
      <c r="D217" s="2" t="s">
        <v>25</v>
      </c>
      <c r="E217" s="2" t="s">
        <v>392</v>
      </c>
      <c r="F217" s="2" t="s">
        <v>1255</v>
      </c>
      <c r="G217" s="2" t="s">
        <v>1256</v>
      </c>
      <c r="H217" s="2" t="s">
        <v>1257</v>
      </c>
      <c r="I217" s="2" t="s">
        <v>30</v>
      </c>
      <c r="J217" s="3" t="str">
        <f>HYPERLINK("https://fyens.dk/debat/et-svinegodt-tilbud-kom-glad", "Læs artikel")</f>
        <v>Læs artikel</v>
      </c>
      <c r="K217" s="2" t="s">
        <v>31</v>
      </c>
      <c r="L217" s="2" t="s">
        <v>32</v>
      </c>
      <c r="M217" s="2" t="s">
        <v>33</v>
      </c>
      <c r="N217" s="2" t="s">
        <v>1258</v>
      </c>
      <c r="O217" s="2" t="s">
        <v>35</v>
      </c>
      <c r="P217" s="2"/>
      <c r="Q217" s="2"/>
      <c r="R217" s="2">
        <v>0.0</v>
      </c>
      <c r="S217" s="2"/>
      <c r="T217" s="2"/>
      <c r="U217" s="2"/>
      <c r="V217" s="2"/>
    </row>
    <row r="218">
      <c r="A218" s="2" t="s">
        <v>1259</v>
      </c>
      <c r="B218" s="2" t="s">
        <v>1260</v>
      </c>
      <c r="C218" s="2" t="s">
        <v>645</v>
      </c>
      <c r="D218" s="2" t="s">
        <v>25</v>
      </c>
      <c r="E218" s="2" t="s">
        <v>646</v>
      </c>
      <c r="F218" s="2" t="s">
        <v>1261</v>
      </c>
      <c r="G218" s="2" t="s">
        <v>1262</v>
      </c>
      <c r="H218" s="2" t="s">
        <v>1263</v>
      </c>
      <c r="I218" s="2" t="s">
        <v>30</v>
      </c>
      <c r="J218" s="3" t="str">
        <f>HYPERLINK("https://viborg-folkeblad.dk/debat/laeserbrev-det-handler-om-ordentlighed-ogsaa-naar-det-er-svaert", "Læs artikel")</f>
        <v>Læs artikel</v>
      </c>
      <c r="K218" s="2" t="s">
        <v>31</v>
      </c>
      <c r="L218" s="2" t="s">
        <v>32</v>
      </c>
      <c r="M218" s="2" t="s">
        <v>33</v>
      </c>
      <c r="N218" s="2" t="s">
        <v>1264</v>
      </c>
      <c r="O218" s="2" t="s">
        <v>35</v>
      </c>
      <c r="P218" s="2" t="s">
        <v>517</v>
      </c>
      <c r="Q218" s="2"/>
      <c r="R218" s="2">
        <v>0.0</v>
      </c>
      <c r="S218" s="2"/>
      <c r="T218" s="2"/>
      <c r="U218" s="2"/>
      <c r="V218" s="2"/>
    </row>
    <row r="219">
      <c r="A219" s="2" t="s">
        <v>1265</v>
      </c>
      <c r="B219" s="2" t="s">
        <v>1266</v>
      </c>
      <c r="C219" s="2" t="s">
        <v>391</v>
      </c>
      <c r="D219" s="2" t="s">
        <v>25</v>
      </c>
      <c r="E219" s="2" t="s">
        <v>392</v>
      </c>
      <c r="F219" s="2" t="s">
        <v>1267</v>
      </c>
      <c r="G219" s="2" t="s">
        <v>1268</v>
      </c>
      <c r="H219" s="2" t="s">
        <v>1269</v>
      </c>
      <c r="I219" s="2" t="s">
        <v>30</v>
      </c>
      <c r="J219" s="3" t="str">
        <f>HYPERLINK("https://fyens.dk/debat/fyens-stiftstidende-svigtede-loenmodtagerne-paa-1-maj", "Læs artikel")</f>
        <v>Læs artikel</v>
      </c>
      <c r="K219" s="2" t="s">
        <v>31</v>
      </c>
      <c r="L219" s="2" t="s">
        <v>32</v>
      </c>
      <c r="M219" s="2" t="s">
        <v>33</v>
      </c>
      <c r="N219" s="2" t="s">
        <v>1270</v>
      </c>
      <c r="O219" s="2" t="s">
        <v>35</v>
      </c>
      <c r="P219" s="2" t="s">
        <v>1033</v>
      </c>
      <c r="Q219" s="2"/>
      <c r="R219" s="2">
        <v>0.0</v>
      </c>
      <c r="S219" s="2"/>
      <c r="T219" s="2"/>
      <c r="U219" s="2"/>
      <c r="V219" s="2"/>
    </row>
    <row r="220">
      <c r="A220" s="2" t="s">
        <v>1271</v>
      </c>
      <c r="B220" s="2" t="s">
        <v>1272</v>
      </c>
      <c r="C220" s="2" t="s">
        <v>399</v>
      </c>
      <c r="D220" s="2" t="s">
        <v>25</v>
      </c>
      <c r="E220" s="2" t="s">
        <v>400</v>
      </c>
      <c r="F220" s="2" t="s">
        <v>1273</v>
      </c>
      <c r="G220" s="2"/>
      <c r="H220" s="2" t="s">
        <v>1274</v>
      </c>
      <c r="I220" s="2" t="s">
        <v>30</v>
      </c>
      <c r="J220" s="3" t="str">
        <f>HYPERLINK("https://stiften.dk/debat/hvad-er-planen-for-vores-daginstitutioner", "Læs artikel")</f>
        <v>Læs artikel</v>
      </c>
      <c r="K220" s="2" t="s">
        <v>31</v>
      </c>
      <c r="L220" s="2" t="s">
        <v>32</v>
      </c>
      <c r="M220" s="2" t="s">
        <v>33</v>
      </c>
      <c r="N220" s="2" t="s">
        <v>1275</v>
      </c>
      <c r="O220" s="2" t="s">
        <v>35</v>
      </c>
      <c r="P220" s="2"/>
      <c r="Q220" s="2"/>
      <c r="R220" s="2">
        <v>0.0</v>
      </c>
      <c r="S220" s="2"/>
      <c r="T220" s="2"/>
      <c r="U220" s="2"/>
      <c r="V220" s="2"/>
    </row>
    <row r="221">
      <c r="A221" s="2" t="s">
        <v>1276</v>
      </c>
      <c r="B221" s="2" t="s">
        <v>1277</v>
      </c>
      <c r="C221" s="2" t="s">
        <v>645</v>
      </c>
      <c r="D221" s="2" t="s">
        <v>25</v>
      </c>
      <c r="E221" s="2" t="s">
        <v>646</v>
      </c>
      <c r="F221" s="2" t="s">
        <v>1278</v>
      </c>
      <c r="G221" s="2" t="s">
        <v>1279</v>
      </c>
      <c r="H221" s="2" t="s">
        <v>1280</v>
      </c>
      <c r="I221" s="2" t="s">
        <v>30</v>
      </c>
      <c r="J221" s="3" t="str">
        <f>HYPERLINK("https://viborg-folkeblad.dk/debat/laeserbrev-bevaringsvaerdige-bygninger-maa-ikke-fjernes-fordi-de-staar-i-vejen", "Læs artikel")</f>
        <v>Læs artikel</v>
      </c>
      <c r="K221" s="2" t="s">
        <v>31</v>
      </c>
      <c r="L221" s="2" t="s">
        <v>32</v>
      </c>
      <c r="M221" s="2" t="s">
        <v>33</v>
      </c>
      <c r="N221" s="2" t="s">
        <v>1281</v>
      </c>
      <c r="O221" s="2" t="s">
        <v>35</v>
      </c>
      <c r="P221" s="2"/>
      <c r="Q221" s="2"/>
      <c r="R221" s="2">
        <v>0.0</v>
      </c>
      <c r="S221" s="2"/>
      <c r="T221" s="2"/>
      <c r="U221" s="2"/>
      <c r="V221" s="2"/>
    </row>
    <row r="222">
      <c r="A222" s="2" t="s">
        <v>1282</v>
      </c>
      <c r="B222" s="2" t="s">
        <v>1283</v>
      </c>
      <c r="C222" s="2" t="s">
        <v>391</v>
      </c>
      <c r="D222" s="2" t="s">
        <v>25</v>
      </c>
      <c r="E222" s="2" t="s">
        <v>392</v>
      </c>
      <c r="F222" s="2" t="s">
        <v>1284</v>
      </c>
      <c r="G222" s="2" t="s">
        <v>1285</v>
      </c>
      <c r="H222" s="2" t="s">
        <v>1286</v>
      </c>
      <c r="I222" s="2" t="s">
        <v>30</v>
      </c>
      <c r="J222" s="3" t="str">
        <f>HYPERLINK("https://fyens.dk/debat/efter-chokmelding-fra-novo-nordisk-odense-skal-goeres-attraktiv", "Læs artikel")</f>
        <v>Læs artikel</v>
      </c>
      <c r="K222" s="2" t="s">
        <v>31</v>
      </c>
      <c r="L222" s="2" t="s">
        <v>32</v>
      </c>
      <c r="M222" s="2" t="s">
        <v>33</v>
      </c>
      <c r="N222" s="2" t="s">
        <v>1287</v>
      </c>
      <c r="O222" s="2" t="s">
        <v>35</v>
      </c>
      <c r="P222" s="2" t="s">
        <v>65</v>
      </c>
      <c r="Q222" s="2"/>
      <c r="R222" s="2">
        <v>78.0</v>
      </c>
      <c r="S222" s="2" t="s">
        <v>1288</v>
      </c>
      <c r="T222" s="2"/>
      <c r="U222" s="2"/>
      <c r="V222" s="2"/>
    </row>
    <row r="223">
      <c r="A223" s="2" t="s">
        <v>1289</v>
      </c>
      <c r="B223" s="2" t="s">
        <v>1290</v>
      </c>
      <c r="C223" s="2" t="s">
        <v>391</v>
      </c>
      <c r="D223" s="2" t="s">
        <v>25</v>
      </c>
      <c r="E223" s="2" t="s">
        <v>392</v>
      </c>
      <c r="F223" s="2" t="s">
        <v>1291</v>
      </c>
      <c r="G223" s="2" t="s">
        <v>1292</v>
      </c>
      <c r="H223" s="2"/>
      <c r="I223" s="2" t="s">
        <v>395</v>
      </c>
      <c r="J223" s="3" t="str">
        <f>HYPERLINK("https://fyens.dk/debat/medicinalgigant-smider-bombe-paa-fyn-hede-novo-nordisk-droemme-er-reduceret-til-en-lagerbygning", "Læs artikel")</f>
        <v>Læs artikel</v>
      </c>
      <c r="K223" s="2" t="s">
        <v>31</v>
      </c>
      <c r="L223" s="2" t="s">
        <v>32</v>
      </c>
      <c r="M223" s="2" t="s">
        <v>33</v>
      </c>
      <c r="N223" s="2" t="s">
        <v>1293</v>
      </c>
      <c r="O223" s="2"/>
      <c r="P223" s="2"/>
      <c r="Q223" s="2"/>
      <c r="R223" s="2">
        <v>0.0</v>
      </c>
      <c r="S223" s="2"/>
      <c r="T223" s="2"/>
      <c r="U223" s="2"/>
      <c r="V223" s="2"/>
    </row>
    <row r="224">
      <c r="A224" s="2" t="s">
        <v>1294</v>
      </c>
      <c r="B224" s="2" t="s">
        <v>1295</v>
      </c>
      <c r="C224" s="2" t="s">
        <v>399</v>
      </c>
      <c r="D224" s="2" t="s">
        <v>25</v>
      </c>
      <c r="E224" s="2" t="s">
        <v>400</v>
      </c>
      <c r="F224" s="2" t="s">
        <v>1296</v>
      </c>
      <c r="G224" s="2" t="s">
        <v>861</v>
      </c>
      <c r="H224" s="2"/>
      <c r="I224" s="2" t="s">
        <v>395</v>
      </c>
      <c r="J224" s="3" t="str">
        <f>HYPERLINK("https://stiften.dk/debat/kaere-rektorer-smid-dem-ud-det-ville-vaere-et-konkret-eksempel-paa-hvad-det-vil-sige-at-vaere-dansk", "Læs artikel")</f>
        <v>Læs artikel</v>
      </c>
      <c r="K224" s="2" t="s">
        <v>31</v>
      </c>
      <c r="L224" s="2" t="s">
        <v>32</v>
      </c>
      <c r="M224" s="2" t="s">
        <v>33</v>
      </c>
      <c r="N224" s="2" t="s">
        <v>1297</v>
      </c>
      <c r="O224" s="2"/>
      <c r="P224" s="2"/>
      <c r="Q224" s="2"/>
      <c r="R224" s="2">
        <v>0.0</v>
      </c>
      <c r="S224" s="2"/>
      <c r="T224" s="2"/>
      <c r="U224" s="2"/>
      <c r="V224" s="2"/>
    </row>
    <row r="225">
      <c r="A225" s="2" t="s">
        <v>1298</v>
      </c>
      <c r="B225" s="2" t="s">
        <v>1299</v>
      </c>
      <c r="C225" s="2" t="s">
        <v>399</v>
      </c>
      <c r="D225" s="2" t="s">
        <v>25</v>
      </c>
      <c r="E225" s="2" t="s">
        <v>400</v>
      </c>
      <c r="F225" s="2" t="s">
        <v>1300</v>
      </c>
      <c r="G225" s="2" t="s">
        <v>1301</v>
      </c>
      <c r="H225" s="2"/>
      <c r="I225" s="2" t="s">
        <v>395</v>
      </c>
      <c r="J225" s="3" t="str">
        <f>HYPERLINK("https://stiften.dk/debat/at-politiet-lyver-os-direkte-op-i-ansigtet-er-alligevel-det-vaerste", "Læs artikel")</f>
        <v>Læs artikel</v>
      </c>
      <c r="K225" s="2" t="s">
        <v>31</v>
      </c>
      <c r="L225" s="2" t="s">
        <v>32</v>
      </c>
      <c r="M225" s="2" t="s">
        <v>33</v>
      </c>
      <c r="N225" s="2" t="s">
        <v>1302</v>
      </c>
      <c r="O225" s="2"/>
      <c r="P225" s="2" t="s">
        <v>443</v>
      </c>
      <c r="Q225" s="2"/>
      <c r="R225" s="2">
        <v>22.0</v>
      </c>
      <c r="S225" s="2" t="s">
        <v>119</v>
      </c>
      <c r="T225" s="2"/>
      <c r="U225" s="2"/>
      <c r="V225" s="2"/>
    </row>
    <row r="226">
      <c r="A226" s="2" t="s">
        <v>1303</v>
      </c>
      <c r="B226" s="2" t="s">
        <v>1304</v>
      </c>
      <c r="C226" s="2" t="s">
        <v>645</v>
      </c>
      <c r="D226" s="2" t="s">
        <v>25</v>
      </c>
      <c r="E226" s="2" t="s">
        <v>646</v>
      </c>
      <c r="F226" s="2" t="s">
        <v>1305</v>
      </c>
      <c r="G226" s="2" t="s">
        <v>1306</v>
      </c>
      <c r="H226" s="2"/>
      <c r="I226" s="2" t="s">
        <v>395</v>
      </c>
      <c r="J226" s="3" t="str">
        <f>HYPERLINK("https://viborg-folkeblad.dk/debat/at-de-toer-hvad-vil-de-folkevalgte-goere-hvis-det-bliver-til-et-tja-maaske-kan-det-gaa", "Læs artikel")</f>
        <v>Læs artikel</v>
      </c>
      <c r="K226" s="2" t="s">
        <v>31</v>
      </c>
      <c r="L226" s="2" t="s">
        <v>32</v>
      </c>
      <c r="M226" s="2" t="s">
        <v>33</v>
      </c>
      <c r="N226" s="2" t="s">
        <v>1307</v>
      </c>
      <c r="O226" s="2"/>
      <c r="P226" s="2" t="s">
        <v>133</v>
      </c>
      <c r="Q226" s="2"/>
      <c r="R226" s="2">
        <v>22.0</v>
      </c>
      <c r="S226" s="2" t="s">
        <v>119</v>
      </c>
      <c r="T226" s="2"/>
      <c r="U226" s="2"/>
      <c r="V226" s="2"/>
    </row>
    <row r="227">
      <c r="A227" s="2" t="s">
        <v>1308</v>
      </c>
      <c r="B227" s="2" t="s">
        <v>1309</v>
      </c>
      <c r="C227" s="2" t="s">
        <v>645</v>
      </c>
      <c r="D227" s="2" t="s">
        <v>25</v>
      </c>
      <c r="E227" s="2" t="s">
        <v>646</v>
      </c>
      <c r="F227" s="2" t="s">
        <v>1310</v>
      </c>
      <c r="G227" s="2"/>
      <c r="H227" s="2" t="s">
        <v>1311</v>
      </c>
      <c r="I227" s="2" t="s">
        <v>30</v>
      </c>
      <c r="J227" s="3" t="str">
        <f>HYPERLINK("https://viborg-folkeblad.dk/debat/laeserbrev-hvorfor-rive-den-ned", "Læs artikel")</f>
        <v>Læs artikel</v>
      </c>
      <c r="K227" s="2" t="s">
        <v>31</v>
      </c>
      <c r="L227" s="2" t="s">
        <v>32</v>
      </c>
      <c r="M227" s="2" t="s">
        <v>33</v>
      </c>
      <c r="N227" s="2" t="s">
        <v>1312</v>
      </c>
      <c r="O227" s="2" t="s">
        <v>35</v>
      </c>
      <c r="P227" s="2"/>
      <c r="Q227" s="2"/>
      <c r="R227" s="2">
        <v>0.0</v>
      </c>
      <c r="S227" s="2"/>
      <c r="T227" s="2"/>
      <c r="U227" s="2"/>
      <c r="V227" s="2"/>
    </row>
    <row r="228">
      <c r="A228" s="2" t="s">
        <v>1313</v>
      </c>
      <c r="B228" s="2" t="s">
        <v>1314</v>
      </c>
      <c r="C228" s="2" t="s">
        <v>399</v>
      </c>
      <c r="D228" s="2" t="s">
        <v>25</v>
      </c>
      <c r="E228" s="2" t="s">
        <v>400</v>
      </c>
      <c r="F228" s="2" t="s">
        <v>1315</v>
      </c>
      <c r="G228" s="2" t="s">
        <v>861</v>
      </c>
      <c r="H228" s="2"/>
      <c r="I228" s="2" t="s">
        <v>395</v>
      </c>
      <c r="J228" s="3" t="str">
        <f>HYPERLINK("https://stiften.dk/debat/hvis-thorkild-fogde-var-fodboldtraener-eller-topchef-i-det-private-var-han-fyret-for-laengst", "Læs artikel")</f>
        <v>Læs artikel</v>
      </c>
      <c r="K228" s="2" t="s">
        <v>31</v>
      </c>
      <c r="L228" s="2" t="s">
        <v>32</v>
      </c>
      <c r="M228" s="2" t="s">
        <v>33</v>
      </c>
      <c r="N228" s="2" t="s">
        <v>1316</v>
      </c>
      <c r="O228" s="2"/>
      <c r="P228" s="2"/>
      <c r="Q228" s="2"/>
      <c r="R228" s="2">
        <v>0.0</v>
      </c>
      <c r="S228" s="2"/>
      <c r="T228" s="2"/>
      <c r="U228" s="2"/>
      <c r="V228" s="2"/>
    </row>
    <row r="229">
      <c r="A229" s="2" t="s">
        <v>1317</v>
      </c>
      <c r="B229" s="2" t="s">
        <v>1318</v>
      </c>
      <c r="C229" s="2" t="s">
        <v>645</v>
      </c>
      <c r="D229" s="2" t="s">
        <v>25</v>
      </c>
      <c r="E229" s="2" t="s">
        <v>646</v>
      </c>
      <c r="F229" s="2" t="s">
        <v>1319</v>
      </c>
      <c r="G229" s="2" t="s">
        <v>1320</v>
      </c>
      <c r="H229" s="2" t="s">
        <v>1321</v>
      </c>
      <c r="I229" s="2" t="s">
        <v>30</v>
      </c>
      <c r="J229" s="3" t="str">
        <f>HYPERLINK("https://viborg-folkeblad.dk/debat/laeserbrev-viborg-kommune-mangler-hjemmel-til-at-flytte-optagne-boern-fra-moellehoejskolen", "Læs artikel")</f>
        <v>Læs artikel</v>
      </c>
      <c r="K229" s="2" t="s">
        <v>31</v>
      </c>
      <c r="L229" s="2" t="s">
        <v>32</v>
      </c>
      <c r="M229" s="2" t="s">
        <v>33</v>
      </c>
      <c r="N229" s="2" t="s">
        <v>1322</v>
      </c>
      <c r="O229" s="2" t="s">
        <v>35</v>
      </c>
      <c r="P229" s="2" t="s">
        <v>1323</v>
      </c>
      <c r="Q229" s="2"/>
      <c r="R229" s="2">
        <v>60.0</v>
      </c>
      <c r="S229" s="2" t="s">
        <v>1252</v>
      </c>
      <c r="T229" s="2"/>
      <c r="U229" s="2"/>
      <c r="V229" s="2"/>
    </row>
    <row r="230">
      <c r="A230" s="2" t="s">
        <v>1324</v>
      </c>
      <c r="B230" s="2" t="s">
        <v>1325</v>
      </c>
      <c r="C230" s="2" t="s">
        <v>645</v>
      </c>
      <c r="D230" s="2" t="s">
        <v>25</v>
      </c>
      <c r="E230" s="2" t="s">
        <v>646</v>
      </c>
      <c r="F230" s="2" t="s">
        <v>1326</v>
      </c>
      <c r="G230" s="2" t="s">
        <v>1327</v>
      </c>
      <c r="H230" s="2" t="s">
        <v>1328</v>
      </c>
      <c r="I230" s="2" t="s">
        <v>30</v>
      </c>
      <c r="J230" s="3" t="str">
        <f>HYPERLINK("https://viborg-folkeblad.dk/debat/naar-mos-sagen-handler-om-langt-mere-end-mos", "Læs artikel")</f>
        <v>Læs artikel</v>
      </c>
      <c r="K230" s="2" t="s">
        <v>31</v>
      </c>
      <c r="L230" s="2" t="s">
        <v>32</v>
      </c>
      <c r="M230" s="2" t="s">
        <v>33</v>
      </c>
      <c r="N230" s="2" t="s">
        <v>1329</v>
      </c>
      <c r="O230" s="2" t="s">
        <v>35</v>
      </c>
      <c r="P230" s="2"/>
      <c r="Q230" s="2"/>
      <c r="R230" s="2">
        <v>0.0</v>
      </c>
      <c r="S230" s="2"/>
      <c r="T230" s="2"/>
      <c r="U230" s="2"/>
      <c r="V230" s="2"/>
    </row>
    <row r="231">
      <c r="A231" s="2" t="s">
        <v>1330</v>
      </c>
      <c r="B231" s="2" t="s">
        <v>1331</v>
      </c>
      <c r="C231" s="2" t="s">
        <v>399</v>
      </c>
      <c r="D231" s="2" t="s">
        <v>25</v>
      </c>
      <c r="E231" s="2" t="s">
        <v>400</v>
      </c>
      <c r="F231" s="2" t="s">
        <v>1332</v>
      </c>
      <c r="G231" s="2"/>
      <c r="H231" s="2" t="s">
        <v>1333</v>
      </c>
      <c r="I231" s="2" t="s">
        <v>30</v>
      </c>
      <c r="J231" s="3" t="str">
        <f>HYPERLINK("https://stiften.dk/debat/skraldespande-spares-vaek-mens-kommunen-betaler-for-godsejers-ulovligheder", "Læs artikel")</f>
        <v>Læs artikel</v>
      </c>
      <c r="K231" s="2" t="s">
        <v>31</v>
      </c>
      <c r="L231" s="2" t="s">
        <v>32</v>
      </c>
      <c r="M231" s="2" t="s">
        <v>33</v>
      </c>
      <c r="N231" s="2" t="s">
        <v>1334</v>
      </c>
      <c r="O231" s="2" t="s">
        <v>35</v>
      </c>
      <c r="P231" s="2" t="s">
        <v>1335</v>
      </c>
      <c r="Q231" s="2"/>
      <c r="R231" s="2">
        <v>60.0</v>
      </c>
      <c r="S231" s="2" t="s">
        <v>1252</v>
      </c>
      <c r="T231" s="2"/>
      <c r="U231" s="2"/>
      <c r="V231" s="2"/>
    </row>
    <row r="232">
      <c r="A232" s="2" t="s">
        <v>1336</v>
      </c>
      <c r="B232" s="2" t="s">
        <v>1337</v>
      </c>
      <c r="C232" s="2" t="s">
        <v>645</v>
      </c>
      <c r="D232" s="2" t="s">
        <v>25</v>
      </c>
      <c r="E232" s="2" t="s">
        <v>646</v>
      </c>
      <c r="F232" s="2" t="s">
        <v>1338</v>
      </c>
      <c r="G232" s="2" t="s">
        <v>1339</v>
      </c>
      <c r="H232" s="2" t="s">
        <v>1340</v>
      </c>
      <c r="I232" s="2" t="s">
        <v>30</v>
      </c>
      <c r="J232" s="3" t="str">
        <f>HYPERLINK("https://viborg-folkeblad.dk/debat/laeserbrev-fire-millioner-kroner-er-mange-penge-i-en-folkeskolevirkelighed", "Læs artikel")</f>
        <v>Læs artikel</v>
      </c>
      <c r="K232" s="2" t="s">
        <v>31</v>
      </c>
      <c r="L232" s="2" t="s">
        <v>32</v>
      </c>
      <c r="M232" s="2" t="s">
        <v>33</v>
      </c>
      <c r="N232" s="2" t="s">
        <v>1341</v>
      </c>
      <c r="O232" s="2" t="s">
        <v>35</v>
      </c>
      <c r="P232" s="2" t="s">
        <v>1342</v>
      </c>
      <c r="Q232" s="2"/>
      <c r="R232" s="2">
        <v>18.0</v>
      </c>
      <c r="S232" s="2" t="s">
        <v>311</v>
      </c>
      <c r="T232" s="2"/>
      <c r="U232" s="2"/>
      <c r="V232" s="2"/>
    </row>
    <row r="233">
      <c r="A233" s="2" t="s">
        <v>1343</v>
      </c>
      <c r="B233" s="2" t="s">
        <v>1344</v>
      </c>
      <c r="C233" s="2" t="s">
        <v>399</v>
      </c>
      <c r="D233" s="2" t="s">
        <v>25</v>
      </c>
      <c r="E233" s="2" t="s">
        <v>400</v>
      </c>
      <c r="F233" s="2" t="s">
        <v>1345</v>
      </c>
      <c r="G233" s="2"/>
      <c r="H233" s="2" t="s">
        <v>1346</v>
      </c>
      <c r="I233" s="2" t="s">
        <v>30</v>
      </c>
      <c r="J233" s="3" t="str">
        <f>HYPERLINK("https://stiften.dk/debat/lad-os-give-boernene-i-odder-en-tobaks-og-nikotinfri-start-paa-livet", "Læs artikel")</f>
        <v>Læs artikel</v>
      </c>
      <c r="K233" s="2" t="s">
        <v>31</v>
      </c>
      <c r="L233" s="2" t="s">
        <v>32</v>
      </c>
      <c r="M233" s="2" t="s">
        <v>33</v>
      </c>
      <c r="N233" s="2" t="s">
        <v>1347</v>
      </c>
      <c r="O233" s="2" t="s">
        <v>35</v>
      </c>
      <c r="P233" s="2" t="s">
        <v>118</v>
      </c>
      <c r="Q233" s="2"/>
      <c r="R233" s="2">
        <v>22.0</v>
      </c>
      <c r="S233" s="2" t="s">
        <v>119</v>
      </c>
      <c r="T233" s="2"/>
      <c r="U233" s="2"/>
      <c r="V233" s="2"/>
    </row>
    <row r="234">
      <c r="A234" s="2" t="s">
        <v>1348</v>
      </c>
      <c r="B234" s="2" t="s">
        <v>1349</v>
      </c>
      <c r="C234" s="2" t="s">
        <v>645</v>
      </c>
      <c r="D234" s="2" t="s">
        <v>25</v>
      </c>
      <c r="E234" s="2" t="s">
        <v>646</v>
      </c>
      <c r="F234" s="2" t="s">
        <v>1350</v>
      </c>
      <c r="G234" s="2" t="s">
        <v>1351</v>
      </c>
      <c r="H234" s="2" t="s">
        <v>1352</v>
      </c>
      <c r="I234" s="2" t="s">
        <v>30</v>
      </c>
      <c r="J234" s="3" t="str">
        <f>HYPERLINK("https://viborg-folkeblad.dk/debat/laeserbrev-naar-den-skarpe-pen-bliver-lidt-for-skarp-hos-journalisten", "Læs artikel")</f>
        <v>Læs artikel</v>
      </c>
      <c r="K234" s="2" t="s">
        <v>31</v>
      </c>
      <c r="L234" s="2" t="s">
        <v>32</v>
      </c>
      <c r="M234" s="2" t="s">
        <v>33</v>
      </c>
      <c r="N234" s="2" t="s">
        <v>1353</v>
      </c>
      <c r="O234" s="2" t="s">
        <v>35</v>
      </c>
      <c r="P234" s="2" t="s">
        <v>133</v>
      </c>
      <c r="Q234" s="2" t="s">
        <v>1354</v>
      </c>
      <c r="R234" s="2">
        <v>22.0</v>
      </c>
      <c r="S234" s="2" t="s">
        <v>119</v>
      </c>
      <c r="T234" s="2"/>
      <c r="U234" s="2"/>
      <c r="V234" s="2"/>
    </row>
    <row r="235">
      <c r="A235" s="2" t="s">
        <v>1355</v>
      </c>
      <c r="B235" s="2" t="s">
        <v>1356</v>
      </c>
      <c r="C235" s="2" t="s">
        <v>399</v>
      </c>
      <c r="D235" s="2" t="s">
        <v>25</v>
      </c>
      <c r="E235" s="2" t="s">
        <v>400</v>
      </c>
      <c r="F235" s="2" t="s">
        <v>1357</v>
      </c>
      <c r="G235" s="2" t="s">
        <v>1358</v>
      </c>
      <c r="H235" s="2"/>
      <c r="I235" s="2" t="s">
        <v>395</v>
      </c>
      <c r="J235" s="3" t="str">
        <f>HYPERLINK("https://stiften.dk/debat/naar-man-kan-bygge-de-hoejeste-bygninger-i-danmark-saa-kan-man-ogsaa-have-lys-paa-byens-bedste-loeberuter", "Læs artikel")</f>
        <v>Læs artikel</v>
      </c>
      <c r="K235" s="2" t="s">
        <v>31</v>
      </c>
      <c r="L235" s="2" t="s">
        <v>32</v>
      </c>
      <c r="M235" s="2" t="s">
        <v>33</v>
      </c>
      <c r="N235" s="2" t="s">
        <v>1359</v>
      </c>
      <c r="O235" s="2"/>
      <c r="P235" s="2"/>
      <c r="Q235" s="2"/>
      <c r="R235" s="2">
        <v>0.0</v>
      </c>
      <c r="S235" s="2"/>
      <c r="T235" s="2"/>
      <c r="U235" s="2"/>
      <c r="V235" s="2"/>
    </row>
    <row r="236">
      <c r="A236" s="2" t="s">
        <v>1360</v>
      </c>
      <c r="B236" s="2" t="s">
        <v>1361</v>
      </c>
      <c r="C236" s="2" t="s">
        <v>645</v>
      </c>
      <c r="D236" s="2" t="s">
        <v>25</v>
      </c>
      <c r="E236" s="2" t="s">
        <v>646</v>
      </c>
      <c r="F236" s="2" t="s">
        <v>1362</v>
      </c>
      <c r="G236" s="2" t="s">
        <v>1363</v>
      </c>
      <c r="H236" s="2" t="s">
        <v>1364</v>
      </c>
      <c r="I236" s="2" t="s">
        <v>30</v>
      </c>
      <c r="J236" s="3" t="str">
        <f>HYPERLINK("https://viborg-folkeblad.dk/debat/laeserbrev-det-er-sidste-gang-de-hyrer-det-firma", "Læs artikel")</f>
        <v>Læs artikel</v>
      </c>
      <c r="K236" s="2" t="s">
        <v>31</v>
      </c>
      <c r="L236" s="2" t="s">
        <v>32</v>
      </c>
      <c r="M236" s="2" t="s">
        <v>33</v>
      </c>
      <c r="N236" s="2" t="s">
        <v>1365</v>
      </c>
      <c r="O236" s="2" t="s">
        <v>35</v>
      </c>
      <c r="P236" s="2" t="s">
        <v>1366</v>
      </c>
      <c r="Q236" s="2" t="s">
        <v>1367</v>
      </c>
      <c r="R236" s="2">
        <v>50.0</v>
      </c>
      <c r="S236" s="2" t="s">
        <v>1252</v>
      </c>
      <c r="T236" s="2"/>
      <c r="U236" s="2"/>
      <c r="V236" s="2"/>
    </row>
    <row r="237">
      <c r="A237" s="2" t="s">
        <v>1368</v>
      </c>
      <c r="B237" s="2" t="s">
        <v>1369</v>
      </c>
      <c r="C237" s="2" t="s">
        <v>399</v>
      </c>
      <c r="D237" s="2" t="s">
        <v>25</v>
      </c>
      <c r="E237" s="2" t="s">
        <v>400</v>
      </c>
      <c r="F237" s="2" t="s">
        <v>1370</v>
      </c>
      <c r="G237" s="2" t="s">
        <v>1371</v>
      </c>
      <c r="H237" s="2" t="s">
        <v>1372</v>
      </c>
      <c r="I237" s="2" t="s">
        <v>240</v>
      </c>
      <c r="J237" s="3" t="str">
        <f>HYPERLINK("https://stiften.dk/debat/tag-vores-vej-tilbage-kommune-den-skulle-aldrig-have-vaeret-privat", "Læs artikel")</f>
        <v>Læs artikel</v>
      </c>
      <c r="K237" s="2" t="s">
        <v>31</v>
      </c>
      <c r="L237" s="2" t="s">
        <v>32</v>
      </c>
      <c r="M237" s="2" t="s">
        <v>33</v>
      </c>
      <c r="N237" s="2" t="s">
        <v>1373</v>
      </c>
      <c r="O237" s="2" t="s">
        <v>242</v>
      </c>
      <c r="P237" s="2" t="s">
        <v>287</v>
      </c>
      <c r="Q237" s="2"/>
      <c r="R237" s="2">
        <v>60.0</v>
      </c>
      <c r="S237" s="2" t="s">
        <v>1252</v>
      </c>
      <c r="T237" s="2"/>
      <c r="U237" s="2"/>
      <c r="V237" s="2"/>
    </row>
    <row r="238">
      <c r="A238" s="2" t="s">
        <v>1374</v>
      </c>
      <c r="B238" s="2" t="s">
        <v>1375</v>
      </c>
      <c r="C238" s="2" t="s">
        <v>645</v>
      </c>
      <c r="D238" s="2" t="s">
        <v>25</v>
      </c>
      <c r="E238" s="2" t="s">
        <v>646</v>
      </c>
      <c r="F238" s="2" t="s">
        <v>1376</v>
      </c>
      <c r="G238" s="2" t="s">
        <v>1377</v>
      </c>
      <c r="H238" s="2" t="s">
        <v>1156</v>
      </c>
      <c r="I238" s="2" t="s">
        <v>30</v>
      </c>
      <c r="J238" s="3" t="str">
        <f>HYPERLINK("https://viborg-folkeblad.dk/debat/laeserbrev-nej-tak-til-sundhedsstyrelsesmad-og-daarligt-tilberedt-mad-fra-madservice", "Læs artikel")</f>
        <v>Læs artikel</v>
      </c>
      <c r="K238" s="2" t="s">
        <v>31</v>
      </c>
      <c r="L238" s="2" t="s">
        <v>32</v>
      </c>
      <c r="M238" s="2" t="s">
        <v>33</v>
      </c>
      <c r="N238" s="2" t="s">
        <v>1378</v>
      </c>
      <c r="O238" s="2" t="s">
        <v>35</v>
      </c>
      <c r="P238" s="2" t="s">
        <v>118</v>
      </c>
      <c r="Q238" s="2"/>
      <c r="R238" s="2">
        <v>40.0</v>
      </c>
      <c r="S238" s="2" t="s">
        <v>1379</v>
      </c>
      <c r="T238" s="2"/>
      <c r="U238" s="2"/>
      <c r="V238" s="2"/>
    </row>
    <row r="239">
      <c r="A239" s="2" t="s">
        <v>1380</v>
      </c>
      <c r="B239" s="2" t="s">
        <v>1381</v>
      </c>
      <c r="C239" s="2" t="s">
        <v>645</v>
      </c>
      <c r="D239" s="2" t="s">
        <v>25</v>
      </c>
      <c r="E239" s="2" t="s">
        <v>646</v>
      </c>
      <c r="F239" s="2" t="s">
        <v>1382</v>
      </c>
      <c r="G239" s="2" t="s">
        <v>1383</v>
      </c>
      <c r="H239" s="2" t="s">
        <v>1384</v>
      </c>
      <c r="I239" s="2" t="s">
        <v>30</v>
      </c>
      <c r="J239" s="3" t="str">
        <f>HYPERLINK("https://viborg-folkeblad.dk/debat/laeserbrev-koensulighed-i-toppen-ja-men-hvad-er-problemet", "Læs artikel")</f>
        <v>Læs artikel</v>
      </c>
      <c r="K239" s="2" t="s">
        <v>31</v>
      </c>
      <c r="L239" s="2" t="s">
        <v>32</v>
      </c>
      <c r="M239" s="2" t="s">
        <v>33</v>
      </c>
      <c r="N239" s="2" t="s">
        <v>1385</v>
      </c>
      <c r="O239" s="2" t="s">
        <v>35</v>
      </c>
      <c r="P239" s="2" t="s">
        <v>133</v>
      </c>
      <c r="Q239" s="2"/>
      <c r="R239" s="2">
        <v>22.0</v>
      </c>
      <c r="S239" s="2" t="s">
        <v>119</v>
      </c>
      <c r="T239" s="2"/>
      <c r="U239" s="2"/>
      <c r="V239" s="2"/>
    </row>
    <row r="240">
      <c r="A240" s="2" t="s">
        <v>1386</v>
      </c>
      <c r="B240" s="2" t="s">
        <v>1387</v>
      </c>
      <c r="C240" s="2" t="s">
        <v>645</v>
      </c>
      <c r="D240" s="2" t="s">
        <v>25</v>
      </c>
      <c r="E240" s="2" t="s">
        <v>646</v>
      </c>
      <c r="F240" s="2" t="s">
        <v>1388</v>
      </c>
      <c r="G240" s="2" t="s">
        <v>1389</v>
      </c>
      <c r="H240" s="2" t="s">
        <v>1390</v>
      </c>
      <c r="I240" s="2" t="s">
        <v>30</v>
      </c>
      <c r="J240" s="3" t="str">
        <f>HYPERLINK("https://viborg-folkeblad.dk/debat/laeserbrev-haeder-til-finn-bach-er-helt-paa-sin-plads", "Læs artikel")</f>
        <v>Læs artikel</v>
      </c>
      <c r="K240" s="2" t="s">
        <v>31</v>
      </c>
      <c r="L240" s="2" t="s">
        <v>32</v>
      </c>
      <c r="M240" s="2" t="s">
        <v>33</v>
      </c>
      <c r="N240" s="2" t="s">
        <v>1391</v>
      </c>
      <c r="O240" s="2" t="s">
        <v>35</v>
      </c>
      <c r="P240" s="2"/>
      <c r="Q240" s="2"/>
      <c r="R240" s="2">
        <v>0.0</v>
      </c>
      <c r="S240" s="2"/>
      <c r="T240" s="2"/>
      <c r="U240" s="2"/>
      <c r="V240" s="2"/>
    </row>
    <row r="241">
      <c r="A241" s="2" t="s">
        <v>1392</v>
      </c>
      <c r="B241" s="2" t="s">
        <v>1393</v>
      </c>
      <c r="C241" s="2" t="s">
        <v>399</v>
      </c>
      <c r="D241" s="2" t="s">
        <v>25</v>
      </c>
      <c r="E241" s="2" t="s">
        <v>400</v>
      </c>
      <c r="F241" s="2" t="s">
        <v>1394</v>
      </c>
      <c r="G241" s="2" t="s">
        <v>1395</v>
      </c>
      <c r="H241" s="2"/>
      <c r="I241" s="2" t="s">
        <v>234</v>
      </c>
      <c r="J241" s="3" t="str">
        <f>HYPERLINK("https://stiften.dk/debat/luddovne-byboere-vil-ikke-gaa-mere-end-ti-skridt-og-det-er-simpelthen-for-privilegeret", "Læs artikel")</f>
        <v>Læs artikel</v>
      </c>
      <c r="K241" s="2" t="s">
        <v>31</v>
      </c>
      <c r="L241" s="2" t="s">
        <v>32</v>
      </c>
      <c r="M241" s="2" t="s">
        <v>33</v>
      </c>
      <c r="N241" s="2" t="s">
        <v>1396</v>
      </c>
      <c r="O241" s="2"/>
      <c r="P241" s="2"/>
      <c r="Q241" s="2"/>
      <c r="R241" s="2">
        <v>0.0</v>
      </c>
      <c r="S241" s="2"/>
      <c r="T241" s="2"/>
      <c r="U241" s="2"/>
      <c r="V241" s="2"/>
    </row>
    <row r="242">
      <c r="A242" s="2" t="s">
        <v>1397</v>
      </c>
      <c r="B242" s="2" t="s">
        <v>1398</v>
      </c>
      <c r="C242" s="2" t="s">
        <v>645</v>
      </c>
      <c r="D242" s="2" t="s">
        <v>25</v>
      </c>
      <c r="E242" s="2" t="s">
        <v>646</v>
      </c>
      <c r="F242" s="2" t="s">
        <v>1399</v>
      </c>
      <c r="G242" s="2" t="s">
        <v>1400</v>
      </c>
      <c r="H242" s="2" t="s">
        <v>1401</v>
      </c>
      <c r="I242" s="2" t="s">
        <v>30</v>
      </c>
      <c r="J242" s="3" t="str">
        <f>HYPERLINK("https://viborg-folkeblad.dk/debat/laeserbrev-400-lastbiler-skovvej-og-privat-vej-hver-dag", "Læs artikel")</f>
        <v>Læs artikel</v>
      </c>
      <c r="K242" s="2" t="s">
        <v>31</v>
      </c>
      <c r="L242" s="2" t="s">
        <v>32</v>
      </c>
      <c r="M242" s="2" t="s">
        <v>33</v>
      </c>
      <c r="N242" s="2" t="s">
        <v>1402</v>
      </c>
      <c r="O242" s="2" t="s">
        <v>35</v>
      </c>
      <c r="P242" s="2"/>
      <c r="Q242" s="2"/>
      <c r="R242" s="2">
        <v>0.0</v>
      </c>
      <c r="S242" s="2"/>
      <c r="T242" s="2"/>
      <c r="U242" s="2"/>
      <c r="V242" s="2"/>
    </row>
    <row r="243">
      <c r="A243" s="2" t="s">
        <v>1403</v>
      </c>
      <c r="B243" s="2" t="s">
        <v>1404</v>
      </c>
      <c r="C243" s="2" t="s">
        <v>645</v>
      </c>
      <c r="D243" s="2" t="s">
        <v>25</v>
      </c>
      <c r="E243" s="2" t="s">
        <v>646</v>
      </c>
      <c r="F243" s="2" t="s">
        <v>1405</v>
      </c>
      <c r="G243" s="2" t="s">
        <v>1406</v>
      </c>
      <c r="H243" s="2" t="s">
        <v>1407</v>
      </c>
      <c r="I243" s="2" t="s">
        <v>30</v>
      </c>
      <c r="J243" s="3" t="str">
        <f>HYPERLINK("https://viborg-folkeblad.dk/debat/laeserbrev-en-viborgenser-vi-alle-kan-vaere-stolte-af", "Læs artikel")</f>
        <v>Læs artikel</v>
      </c>
      <c r="K243" s="2" t="s">
        <v>31</v>
      </c>
      <c r="L243" s="2" t="s">
        <v>32</v>
      </c>
      <c r="M243" s="2" t="s">
        <v>33</v>
      </c>
      <c r="N243" s="2" t="s">
        <v>1408</v>
      </c>
      <c r="O243" s="2" t="s">
        <v>35</v>
      </c>
      <c r="P243" s="2"/>
      <c r="Q243" s="2"/>
      <c r="R243" s="2">
        <v>0.0</v>
      </c>
      <c r="S243" s="2"/>
      <c r="T243" s="2"/>
      <c r="U243" s="2"/>
      <c r="V243" s="2"/>
    </row>
    <row r="244">
      <c r="A244" s="2" t="s">
        <v>1409</v>
      </c>
      <c r="B244" s="2" t="s">
        <v>1410</v>
      </c>
      <c r="C244" s="2" t="s">
        <v>399</v>
      </c>
      <c r="D244" s="2" t="s">
        <v>25</v>
      </c>
      <c r="E244" s="2" t="s">
        <v>400</v>
      </c>
      <c r="F244" s="2" t="s">
        <v>1411</v>
      </c>
      <c r="G244" s="2" t="s">
        <v>1412</v>
      </c>
      <c r="H244" s="2"/>
      <c r="I244" s="2" t="s">
        <v>395</v>
      </c>
      <c r="J244" s="3" t="str">
        <f>HYPERLINK("https://stiften.dk/debat/nu-stopper-det-kinda-dansk-kinda-engelsk-helt-udvandet", "Læs artikel")</f>
        <v>Læs artikel</v>
      </c>
      <c r="K244" s="2" t="s">
        <v>31</v>
      </c>
      <c r="L244" s="2" t="s">
        <v>32</v>
      </c>
      <c r="M244" s="2" t="s">
        <v>33</v>
      </c>
      <c r="N244" s="2" t="s">
        <v>1413</v>
      </c>
      <c r="O244" s="2"/>
      <c r="P244" s="2" t="s">
        <v>249</v>
      </c>
      <c r="Q244" s="2"/>
      <c r="R244" s="2">
        <v>0.0</v>
      </c>
      <c r="S244" s="2"/>
      <c r="T244" s="2"/>
      <c r="U244" s="2"/>
      <c r="V244" s="2"/>
    </row>
    <row r="245">
      <c r="A245" s="2" t="s">
        <v>1414</v>
      </c>
      <c r="B245" s="2" t="s">
        <v>1415</v>
      </c>
      <c r="C245" s="2" t="s">
        <v>399</v>
      </c>
      <c r="D245" s="2" t="s">
        <v>25</v>
      </c>
      <c r="E245" s="2" t="s">
        <v>400</v>
      </c>
      <c r="F245" s="2" t="s">
        <v>1416</v>
      </c>
      <c r="G245" s="2" t="s">
        <v>1417</v>
      </c>
      <c r="H245" s="2" t="s">
        <v>1418</v>
      </c>
      <c r="I245" s="2" t="s">
        <v>240</v>
      </c>
      <c r="J245" s="3" t="str">
        <f>HYPERLINK("https://stiften.dk/debat/jeg-kom-forbi-et-skilt-og-opdagede-noget-vigtigt-herude-i-oplandet", "Læs artikel")</f>
        <v>Læs artikel</v>
      </c>
      <c r="K245" s="2" t="s">
        <v>31</v>
      </c>
      <c r="L245" s="2" t="s">
        <v>32</v>
      </c>
      <c r="M245" s="2" t="s">
        <v>33</v>
      </c>
      <c r="N245" s="2" t="s">
        <v>1419</v>
      </c>
      <c r="O245" s="2" t="s">
        <v>242</v>
      </c>
      <c r="P245" s="2" t="s">
        <v>1420</v>
      </c>
      <c r="Q245" s="2"/>
      <c r="R245" s="2">
        <v>10.0</v>
      </c>
      <c r="S245" s="2" t="s">
        <v>74</v>
      </c>
      <c r="T245" s="2"/>
      <c r="U245" s="2"/>
      <c r="V245" s="2"/>
    </row>
    <row r="246">
      <c r="A246" s="2" t="s">
        <v>1421</v>
      </c>
      <c r="B246" s="2" t="s">
        <v>1422</v>
      </c>
      <c r="C246" s="2" t="s">
        <v>645</v>
      </c>
      <c r="D246" s="2" t="s">
        <v>25</v>
      </c>
      <c r="E246" s="2" t="s">
        <v>646</v>
      </c>
      <c r="F246" s="2" t="s">
        <v>1423</v>
      </c>
      <c r="G246" s="2" t="s">
        <v>1424</v>
      </c>
      <c r="H246" s="2"/>
      <c r="I246" s="2" t="s">
        <v>30</v>
      </c>
      <c r="J246" s="3" t="str">
        <f>HYPERLINK("https://viborg-folkeblad.dk/debat/kan-man-aabne-en-oel-med-andres-doed", "Læs artikel")</f>
        <v>Læs artikel</v>
      </c>
      <c r="K246" s="2" t="s">
        <v>31</v>
      </c>
      <c r="L246" s="2" t="s">
        <v>32</v>
      </c>
      <c r="M246" s="2" t="s">
        <v>33</v>
      </c>
      <c r="N246" s="2" t="s">
        <v>1425</v>
      </c>
      <c r="O246" s="2" t="s">
        <v>35</v>
      </c>
      <c r="P246" s="2"/>
      <c r="Q246" s="2"/>
      <c r="R246" s="2">
        <v>0.0</v>
      </c>
      <c r="S246" s="2"/>
      <c r="T246" s="2"/>
      <c r="U246" s="2"/>
      <c r="V246" s="2"/>
    </row>
    <row r="247">
      <c r="A247" s="2" t="s">
        <v>1426</v>
      </c>
      <c r="B247" s="2" t="s">
        <v>1427</v>
      </c>
      <c r="C247" s="2" t="s">
        <v>645</v>
      </c>
      <c r="D247" s="2" t="s">
        <v>25</v>
      </c>
      <c r="E247" s="2" t="s">
        <v>646</v>
      </c>
      <c r="F247" s="2" t="s">
        <v>1428</v>
      </c>
      <c r="G247" s="2" t="s">
        <v>1429</v>
      </c>
      <c r="H247" s="2"/>
      <c r="I247" s="2" t="s">
        <v>30</v>
      </c>
      <c r="J247" s="3" t="str">
        <f>HYPERLINK("https://viborg-folkeblad.dk/debat/laeserbrev-erhvervsvenlighed-for-alle-ikke-kun-enkelte", "Læs artikel")</f>
        <v>Læs artikel</v>
      </c>
      <c r="K247" s="2" t="s">
        <v>31</v>
      </c>
      <c r="L247" s="2" t="s">
        <v>32</v>
      </c>
      <c r="M247" s="2" t="s">
        <v>33</v>
      </c>
      <c r="N247" s="2" t="s">
        <v>1430</v>
      </c>
      <c r="O247" s="2" t="s">
        <v>35</v>
      </c>
      <c r="P247" s="2" t="s">
        <v>65</v>
      </c>
      <c r="Q247" s="2"/>
      <c r="R247" s="2">
        <v>42.0</v>
      </c>
      <c r="S247" s="2" t="s">
        <v>88</v>
      </c>
      <c r="T247" s="2"/>
      <c r="U247" s="2"/>
      <c r="V247" s="2"/>
    </row>
    <row r="248">
      <c r="A248" s="2" t="s">
        <v>1431</v>
      </c>
      <c r="B248" s="2" t="s">
        <v>1432</v>
      </c>
      <c r="C248" s="2" t="s">
        <v>645</v>
      </c>
      <c r="D248" s="2" t="s">
        <v>25</v>
      </c>
      <c r="E248" s="2" t="s">
        <v>646</v>
      </c>
      <c r="F248" s="2" t="s">
        <v>1433</v>
      </c>
      <c r="G248" s="2" t="s">
        <v>1434</v>
      </c>
      <c r="H248" s="2"/>
      <c r="I248" s="2" t="s">
        <v>30</v>
      </c>
      <c r="J248" s="3" t="str">
        <f>HYPERLINK("https://viborg-folkeblad.dk/debat/dagens-leder-saa-blev-dataindustrien-alligevel-en-guldgrube", "Læs artikel")</f>
        <v>Læs artikel</v>
      </c>
      <c r="K248" s="2" t="s">
        <v>31</v>
      </c>
      <c r="L248" s="2" t="s">
        <v>32</v>
      </c>
      <c r="M248" s="2" t="s">
        <v>33</v>
      </c>
      <c r="N248" s="2" t="s">
        <v>1435</v>
      </c>
      <c r="O248" s="2" t="s">
        <v>35</v>
      </c>
      <c r="P248" s="2" t="s">
        <v>1436</v>
      </c>
      <c r="Q248" s="2"/>
      <c r="R248" s="2">
        <v>42.0</v>
      </c>
      <c r="S248" s="2" t="s">
        <v>88</v>
      </c>
      <c r="T248" s="2"/>
      <c r="U248" s="2"/>
      <c r="V248" s="2"/>
    </row>
    <row r="249">
      <c r="A249" s="2" t="s">
        <v>1437</v>
      </c>
      <c r="B249" s="2" t="s">
        <v>1438</v>
      </c>
      <c r="C249" s="2" t="s">
        <v>645</v>
      </c>
      <c r="D249" s="2" t="s">
        <v>25</v>
      </c>
      <c r="E249" s="2" t="s">
        <v>646</v>
      </c>
      <c r="F249" s="2" t="s">
        <v>1439</v>
      </c>
      <c r="G249" s="2" t="s">
        <v>1440</v>
      </c>
      <c r="H249" s="2" t="s">
        <v>1441</v>
      </c>
      <c r="I249" s="2" t="s">
        <v>30</v>
      </c>
      <c r="J249" s="3" t="str">
        <f>HYPERLINK("https://viborg-folkeblad.dk/debat/laeserbrev-skulle-vi-proeve-at-faa-fokus-paa-bolden-det-er-det-vi-er-her-for", "Læs artikel")</f>
        <v>Læs artikel</v>
      </c>
      <c r="K249" s="2" t="s">
        <v>31</v>
      </c>
      <c r="L249" s="2" t="s">
        <v>32</v>
      </c>
      <c r="M249" s="2" t="s">
        <v>33</v>
      </c>
      <c r="N249" s="2" t="s">
        <v>1442</v>
      </c>
      <c r="O249" s="2" t="s">
        <v>35</v>
      </c>
      <c r="P249" s="2" t="s">
        <v>133</v>
      </c>
      <c r="Q249" s="2"/>
      <c r="R249" s="2">
        <v>22.0</v>
      </c>
      <c r="S249" s="2" t="s">
        <v>119</v>
      </c>
      <c r="T249" s="2"/>
      <c r="U249" s="2"/>
      <c r="V249" s="2"/>
    </row>
    <row r="250">
      <c r="A250" s="2" t="s">
        <v>1443</v>
      </c>
      <c r="B250" s="2" t="s">
        <v>1444</v>
      </c>
      <c r="C250" s="2" t="s">
        <v>527</v>
      </c>
      <c r="D250" s="2" t="s">
        <v>123</v>
      </c>
      <c r="E250" s="2"/>
      <c r="F250" s="2" t="s">
        <v>1445</v>
      </c>
      <c r="G250" s="2" t="s">
        <v>1446</v>
      </c>
      <c r="H250" s="2" t="s">
        <v>1447</v>
      </c>
      <c r="I250" s="2" t="s">
        <v>163</v>
      </c>
      <c r="J250" s="3" t="str">
        <f>HYPERLINK("https://www.kristeligt-dagblad.dk/debat/lad-de-unge-faa-fred-og-lad-os-sammen-normalisere-udsvingene-som-livet-bringer", "Læs artikel")</f>
        <v>Læs artikel</v>
      </c>
      <c r="K250" s="2" t="s">
        <v>31</v>
      </c>
      <c r="L250" s="2" t="s">
        <v>32</v>
      </c>
      <c r="M250" s="2" t="s">
        <v>33</v>
      </c>
      <c r="N250" s="2" t="s">
        <v>1448</v>
      </c>
      <c r="O250" s="2" t="s">
        <v>165</v>
      </c>
      <c r="P250" s="2" t="s">
        <v>118</v>
      </c>
      <c r="Q250" s="2"/>
      <c r="R250" s="2">
        <v>28.0</v>
      </c>
      <c r="S250" s="2" t="s">
        <v>374</v>
      </c>
      <c r="T250" s="2"/>
      <c r="U250" s="2"/>
      <c r="V250" s="2"/>
    </row>
    <row r="251">
      <c r="A251" s="2" t="s">
        <v>1449</v>
      </c>
      <c r="B251" s="2" t="s">
        <v>1450</v>
      </c>
      <c r="C251" s="2" t="s">
        <v>701</v>
      </c>
      <c r="D251" s="2" t="s">
        <v>25</v>
      </c>
      <c r="E251" s="2" t="s">
        <v>702</v>
      </c>
      <c r="F251" s="2" t="s">
        <v>1451</v>
      </c>
      <c r="G251" s="2"/>
      <c r="H251" s="2"/>
      <c r="I251" s="2" t="s">
        <v>30</v>
      </c>
      <c r="J251" s="3" t="str">
        <f>HYPERLINK("https://jv.dk/debat/saadan-deltager-du-i-debatten-paa-jydskevestkysten", "Læs artikel")</f>
        <v>Læs artikel</v>
      </c>
      <c r="K251" s="2" t="s">
        <v>31</v>
      </c>
      <c r="L251" s="2" t="s">
        <v>32</v>
      </c>
      <c r="M251" s="2" t="s">
        <v>33</v>
      </c>
      <c r="N251" s="2" t="s">
        <v>1452</v>
      </c>
      <c r="O251" s="2" t="s">
        <v>35</v>
      </c>
      <c r="P251" s="2"/>
      <c r="Q251" s="2"/>
      <c r="R251" s="2">
        <v>0.0</v>
      </c>
      <c r="S251" s="2"/>
      <c r="T251" s="2"/>
      <c r="U251" s="2"/>
      <c r="V251" s="2"/>
    </row>
    <row r="252">
      <c r="A252" s="2" t="s">
        <v>1453</v>
      </c>
      <c r="B252" s="2" t="s">
        <v>1454</v>
      </c>
      <c r="C252" s="2" t="s">
        <v>24</v>
      </c>
      <c r="D252" s="2" t="s">
        <v>25</v>
      </c>
      <c r="E252" s="2" t="s">
        <v>26</v>
      </c>
      <c r="F252" s="2" t="s">
        <v>1455</v>
      </c>
      <c r="G252" s="2" t="s">
        <v>1456</v>
      </c>
      <c r="H252" s="2" t="s">
        <v>102</v>
      </c>
      <c r="I252" s="2" t="s">
        <v>30</v>
      </c>
      <c r="J252" s="3" t="str">
        <f>HYPERLINK("https://www.sn.dk/art6572280/sjaelland/debat-sjaelland/debattoer-aabenhed-gaelder-aabenbart-kun-en-side", "Læs artikel")</f>
        <v>Læs artikel</v>
      </c>
      <c r="K252" s="2" t="s">
        <v>31</v>
      </c>
      <c r="L252" s="2" t="s">
        <v>32</v>
      </c>
      <c r="M252" s="2" t="s">
        <v>33</v>
      </c>
      <c r="N252" s="2" t="s">
        <v>1457</v>
      </c>
      <c r="O252" s="2" t="s">
        <v>35</v>
      </c>
      <c r="P252" s="2"/>
      <c r="Q252" s="2"/>
      <c r="R252" s="2">
        <v>8.0</v>
      </c>
      <c r="S252" s="2" t="s">
        <v>145</v>
      </c>
      <c r="T252" s="2"/>
      <c r="U252" s="2"/>
      <c r="V252" s="2"/>
    </row>
    <row r="253">
      <c r="A253" s="2" t="s">
        <v>1458</v>
      </c>
      <c r="B253" s="2" t="s">
        <v>1459</v>
      </c>
      <c r="C253" s="2" t="s">
        <v>24</v>
      </c>
      <c r="D253" s="2" t="s">
        <v>25</v>
      </c>
      <c r="E253" s="2" t="s">
        <v>26</v>
      </c>
      <c r="F253" s="2" t="s">
        <v>1460</v>
      </c>
      <c r="G253" s="2" t="s">
        <v>1461</v>
      </c>
      <c r="H253" s="2" t="s">
        <v>1462</v>
      </c>
      <c r="I253" s="2" t="s">
        <v>30</v>
      </c>
      <c r="J253" s="3" t="str">
        <f>HYPERLINK("https://www.sn.dk/art6572266/sjaelland/debat-sjaelland/borgmester-og-regionsraadsmedlem-sjaellands-universitetshospital-koege-skal-komme-borgerne-til-gavn", "Læs artikel")</f>
        <v>Læs artikel</v>
      </c>
      <c r="K253" s="2" t="s">
        <v>31</v>
      </c>
      <c r="L253" s="2" t="s">
        <v>32</v>
      </c>
      <c r="M253" s="2" t="s">
        <v>33</v>
      </c>
      <c r="N253" s="2" t="s">
        <v>1463</v>
      </c>
      <c r="O253" s="2" t="s">
        <v>35</v>
      </c>
      <c r="P253" s="2" t="s">
        <v>133</v>
      </c>
      <c r="Q253" s="2"/>
      <c r="R253" s="2">
        <v>40.0</v>
      </c>
      <c r="S253" s="2" t="s">
        <v>1379</v>
      </c>
      <c r="T253" s="2"/>
      <c r="U253" s="2"/>
      <c r="V253" s="2"/>
    </row>
    <row r="254">
      <c r="A254" s="2" t="s">
        <v>1464</v>
      </c>
      <c r="B254" s="2" t="s">
        <v>1465</v>
      </c>
      <c r="C254" s="2" t="s">
        <v>24</v>
      </c>
      <c r="D254" s="2" t="s">
        <v>25</v>
      </c>
      <c r="E254" s="2" t="s">
        <v>26</v>
      </c>
      <c r="F254" s="2" t="s">
        <v>1466</v>
      </c>
      <c r="G254" s="2" t="s">
        <v>1467</v>
      </c>
      <c r="H254" s="2" t="s">
        <v>1468</v>
      </c>
      <c r="I254" s="2" t="s">
        <v>30</v>
      </c>
      <c r="J254" s="3" t="str">
        <f>HYPERLINK("https://www.sn.dk/art6527292/erhverv/debat-sjaelland/erhvervsoekonom-har-novos-boersnedtur-taget-toppen-af-optimismen-i-region-sjaelland", "Læs artikel")</f>
        <v>Læs artikel</v>
      </c>
      <c r="K254" s="2" t="s">
        <v>31</v>
      </c>
      <c r="L254" s="2" t="s">
        <v>32</v>
      </c>
      <c r="M254" s="2" t="s">
        <v>33</v>
      </c>
      <c r="N254" s="2" t="s">
        <v>1469</v>
      </c>
      <c r="O254" s="2" t="s">
        <v>35</v>
      </c>
      <c r="P254" s="2" t="s">
        <v>387</v>
      </c>
      <c r="Q254" s="2"/>
      <c r="R254" s="2">
        <v>10.0</v>
      </c>
      <c r="S254" s="2" t="s">
        <v>134</v>
      </c>
      <c r="T254" s="2"/>
      <c r="U254" s="2"/>
      <c r="V254" s="2"/>
    </row>
    <row r="255">
      <c r="A255" s="2" t="s">
        <v>1470</v>
      </c>
      <c r="B255" s="2" t="s">
        <v>1471</v>
      </c>
      <c r="C255" s="2" t="s">
        <v>24</v>
      </c>
      <c r="D255" s="2" t="s">
        <v>25</v>
      </c>
      <c r="E255" s="2" t="s">
        <v>26</v>
      </c>
      <c r="F255" s="2" t="s">
        <v>1472</v>
      </c>
      <c r="G255" s="2" t="s">
        <v>1473</v>
      </c>
      <c r="H255" s="2" t="s">
        <v>1474</v>
      </c>
      <c r="I255" s="2" t="s">
        <v>30</v>
      </c>
      <c r="J255" s="3" t="str">
        <f>HYPERLINK("https://www.sn.dk/art6524078/sjaelland/debat-sjaelland/folketingskandidat-demensindsatsen-skal-styrkes", "Læs artikel")</f>
        <v>Læs artikel</v>
      </c>
      <c r="K255" s="2" t="s">
        <v>31</v>
      </c>
      <c r="L255" s="2" t="s">
        <v>32</v>
      </c>
      <c r="M255" s="2" t="s">
        <v>33</v>
      </c>
      <c r="N255" s="2" t="s">
        <v>1475</v>
      </c>
      <c r="O255" s="2" t="s">
        <v>35</v>
      </c>
      <c r="P255" s="2" t="s">
        <v>1476</v>
      </c>
      <c r="Q255" s="2"/>
      <c r="R255" s="2">
        <v>60.0</v>
      </c>
      <c r="S255" s="2" t="s">
        <v>1252</v>
      </c>
      <c r="T255" s="2"/>
      <c r="U255" s="2"/>
      <c r="V255" s="2"/>
    </row>
    <row r="256">
      <c r="A256" s="2" t="s">
        <v>1477</v>
      </c>
      <c r="B256" s="2"/>
      <c r="C256" s="2" t="s">
        <v>1478</v>
      </c>
      <c r="D256" s="2" t="s">
        <v>123</v>
      </c>
      <c r="E256" s="2"/>
      <c r="F256" s="2" t="s">
        <v>1479</v>
      </c>
      <c r="G256" s="2" t="s">
        <v>1480</v>
      </c>
      <c r="H256" s="2"/>
      <c r="I256" s="2" t="s">
        <v>30</v>
      </c>
      <c r="J256" s="3" t="str">
        <f>HYPERLINK("https://politiken.dk/debat/debatindlaeg/art10858709/Politiken-svigter-ved-at-støtte-en-ondskabsfuld-hadefuld-og-løgnagtig-bagvaskelseskampagne-mod-mig", "Læs artikel")</f>
        <v>Læs artikel</v>
      </c>
      <c r="K256" s="2" t="s">
        <v>31</v>
      </c>
      <c r="L256" s="2" t="s">
        <v>32</v>
      </c>
      <c r="M256" s="2" t="s">
        <v>33</v>
      </c>
      <c r="N256" s="2" t="s">
        <v>1481</v>
      </c>
      <c r="O256" s="2" t="s">
        <v>35</v>
      </c>
      <c r="P256" s="2" t="s">
        <v>443</v>
      </c>
      <c r="Q256" s="2"/>
      <c r="R256" s="2">
        <v>10.0</v>
      </c>
      <c r="S256" s="2" t="s">
        <v>134</v>
      </c>
      <c r="T256" s="2"/>
      <c r="U256" s="2"/>
      <c r="V256" s="2"/>
    </row>
    <row r="257">
      <c r="A257" s="2" t="s">
        <v>1482</v>
      </c>
      <c r="B257" s="2"/>
      <c r="C257" s="2" t="s">
        <v>1478</v>
      </c>
      <c r="D257" s="2" t="s">
        <v>123</v>
      </c>
      <c r="E257" s="2"/>
      <c r="F257" s="2" t="s">
        <v>1483</v>
      </c>
      <c r="G257" s="2" t="s">
        <v>1484</v>
      </c>
      <c r="H257" s="2"/>
      <c r="I257" s="2" t="s">
        <v>30</v>
      </c>
      <c r="J257" s="3" t="str">
        <f>HYPERLINK("https://politiken.dk/debat/debatindlaeg/art10847683/Min-dom-for-injurier-imod-Jotam-Confino-er-udtryk-for-et-alvorligt-demokratisk-skred", "Læs artikel")</f>
        <v>Læs artikel</v>
      </c>
      <c r="K257" s="2" t="s">
        <v>31</v>
      </c>
      <c r="L257" s="2" t="s">
        <v>32</v>
      </c>
      <c r="M257" s="2" t="s">
        <v>33</v>
      </c>
      <c r="N257" s="2" t="s">
        <v>1485</v>
      </c>
      <c r="O257" s="2" t="s">
        <v>35</v>
      </c>
      <c r="P257" s="2" t="s">
        <v>299</v>
      </c>
      <c r="Q257" s="2"/>
      <c r="R257" s="2">
        <v>64.0</v>
      </c>
      <c r="S257" s="2" t="s">
        <v>1486</v>
      </c>
      <c r="T257" s="2"/>
      <c r="U257" s="2"/>
      <c r="V257" s="2"/>
    </row>
    <row r="258">
      <c r="A258" s="2" t="s">
        <v>1487</v>
      </c>
      <c r="B258" s="2"/>
      <c r="C258" s="2" t="s">
        <v>1478</v>
      </c>
      <c r="D258" s="2" t="s">
        <v>123</v>
      </c>
      <c r="E258" s="2"/>
      <c r="F258" s="2" t="s">
        <v>1488</v>
      </c>
      <c r="G258" s="2" t="s">
        <v>1489</v>
      </c>
      <c r="H258" s="2"/>
      <c r="I258" s="2" t="s">
        <v>30</v>
      </c>
      <c r="J258" s="3" t="str">
        <f>HYPERLINK("https://politiken.dk/debat/debatindlaeg/art10853139/Hvis-man-for-alvor-ønsker-åndelig-oprustning-kunne-man-jo-starte-med-ikke-at-behandle-universitetet-som-en-pølsefabrik", "Læs artikel")</f>
        <v>Læs artikel</v>
      </c>
      <c r="K258" s="2" t="s">
        <v>31</v>
      </c>
      <c r="L258" s="2" t="s">
        <v>32</v>
      </c>
      <c r="M258" s="2" t="s">
        <v>33</v>
      </c>
      <c r="N258" s="2" t="s">
        <v>1490</v>
      </c>
      <c r="O258" s="2" t="s">
        <v>35</v>
      </c>
      <c r="P258" s="2" t="s">
        <v>1491</v>
      </c>
      <c r="Q258" s="2"/>
      <c r="R258" s="2">
        <v>28.0</v>
      </c>
      <c r="S258" s="2" t="s">
        <v>590</v>
      </c>
      <c r="T258" s="2" t="s">
        <v>1492</v>
      </c>
      <c r="U258" s="2"/>
      <c r="V258" s="2"/>
    </row>
    <row r="259">
      <c r="A259" s="2" t="s">
        <v>1493</v>
      </c>
      <c r="B259" s="2"/>
      <c r="C259" s="2" t="s">
        <v>1478</v>
      </c>
      <c r="D259" s="2" t="s">
        <v>123</v>
      </c>
      <c r="E259" s="2"/>
      <c r="F259" s="2" t="s">
        <v>1494</v>
      </c>
      <c r="G259" s="2" t="s">
        <v>1495</v>
      </c>
      <c r="H259" s="2"/>
      <c r="I259" s="2" t="s">
        <v>30</v>
      </c>
      <c r="J259" s="3" t="str">
        <f>HYPERLINK("https://politiken.dk/debat/debatindlaeg/art10853977/Derfor-er-Googles-seneste-udmelding-alarmerende", "Læs artikel")</f>
        <v>Læs artikel</v>
      </c>
      <c r="K259" s="2" t="s">
        <v>31</v>
      </c>
      <c r="L259" s="2" t="s">
        <v>32</v>
      </c>
      <c r="M259" s="2" t="s">
        <v>33</v>
      </c>
      <c r="N259" s="2" t="s">
        <v>1496</v>
      </c>
      <c r="O259" s="2" t="s">
        <v>35</v>
      </c>
      <c r="P259" s="2" t="s">
        <v>143</v>
      </c>
      <c r="Q259" s="2"/>
      <c r="R259" s="2">
        <v>0.0</v>
      </c>
      <c r="S259" s="2"/>
      <c r="T259" s="2"/>
      <c r="U259" s="2"/>
      <c r="V259" s="2"/>
    </row>
    <row r="260">
      <c r="A260" s="2" t="s">
        <v>1497</v>
      </c>
      <c r="B260" s="2"/>
      <c r="C260" s="2" t="s">
        <v>1478</v>
      </c>
      <c r="D260" s="2" t="s">
        <v>123</v>
      </c>
      <c r="E260" s="2"/>
      <c r="F260" s="2" t="s">
        <v>1498</v>
      </c>
      <c r="G260" s="2" t="s">
        <v>1499</v>
      </c>
      <c r="H260" s="2"/>
      <c r="I260" s="2" t="s">
        <v>395</v>
      </c>
      <c r="J260" s="3" t="str">
        <f>HYPERLINK("https://politiken.dk/debat/ledere/art10860676/Det-er-på-tide-at-landbrugssektoren-bliver-behandlet-som-alle-andre-erhverv", "Læs artikel")</f>
        <v>Læs artikel</v>
      </c>
      <c r="K260" s="2" t="s">
        <v>31</v>
      </c>
      <c r="L260" s="2" t="s">
        <v>32</v>
      </c>
      <c r="M260" s="2" t="s">
        <v>33</v>
      </c>
      <c r="N260" s="2" t="s">
        <v>1500</v>
      </c>
      <c r="O260" s="2"/>
      <c r="P260" s="2" t="s">
        <v>1501</v>
      </c>
      <c r="Q260" s="2"/>
      <c r="R260" s="2">
        <v>47.0</v>
      </c>
      <c r="S260" s="2" t="s">
        <v>151</v>
      </c>
      <c r="T260" s="2" t="s">
        <v>89</v>
      </c>
      <c r="U260" s="2"/>
      <c r="V260" s="2"/>
    </row>
    <row r="261">
      <c r="A261" s="2" t="s">
        <v>1502</v>
      </c>
      <c r="B261" s="2"/>
      <c r="C261" s="2" t="s">
        <v>1478</v>
      </c>
      <c r="D261" s="2" t="s">
        <v>123</v>
      </c>
      <c r="E261" s="2"/>
      <c r="F261" s="2" t="s">
        <v>1503</v>
      </c>
      <c r="G261" s="2" t="s">
        <v>1504</v>
      </c>
      <c r="H261" s="2"/>
      <c r="I261" s="2" t="s">
        <v>234</v>
      </c>
      <c r="J261" s="3" t="str">
        <f>HYPERLINK("https://politiken.dk/debat/klummer/art10858492/Lyden-af-politik-irriterer-mig", "Læs artikel")</f>
        <v>Læs artikel</v>
      </c>
      <c r="K261" s="2" t="s">
        <v>31</v>
      </c>
      <c r="L261" s="2" t="s">
        <v>32</v>
      </c>
      <c r="M261" s="2" t="s">
        <v>33</v>
      </c>
      <c r="N261" s="2" t="s">
        <v>1505</v>
      </c>
      <c r="O261" s="2"/>
      <c r="P261" s="2" t="s">
        <v>104</v>
      </c>
      <c r="Q261" s="2"/>
      <c r="R261" s="2">
        <v>42.0</v>
      </c>
      <c r="S261" s="2" t="s">
        <v>151</v>
      </c>
      <c r="T261" s="2"/>
      <c r="U261" s="2"/>
      <c r="V261" s="2"/>
    </row>
    <row r="262">
      <c r="A262" s="2" t="s">
        <v>1506</v>
      </c>
      <c r="B262" s="2"/>
      <c r="C262" s="2" t="s">
        <v>1478</v>
      </c>
      <c r="D262" s="2" t="s">
        <v>123</v>
      </c>
      <c r="E262" s="2"/>
      <c r="F262" s="2" t="s">
        <v>1507</v>
      </c>
      <c r="G262" s="2" t="s">
        <v>1508</v>
      </c>
      <c r="H262" s="2"/>
      <c r="I262" s="2" t="s">
        <v>234</v>
      </c>
      <c r="J262" s="3" t="str">
        <f>HYPERLINK("https://politiken.dk/debat/klummer/jerichow/art10860659/Krigen-skulle-standse-Iran.-Den-har-snarere-svækket-Trump", "Læs artikel")</f>
        <v>Læs artikel</v>
      </c>
      <c r="K262" s="2" t="s">
        <v>31</v>
      </c>
      <c r="L262" s="2" t="s">
        <v>32</v>
      </c>
      <c r="M262" s="2" t="s">
        <v>33</v>
      </c>
      <c r="N262" s="2" t="s">
        <v>1509</v>
      </c>
      <c r="O262" s="2"/>
      <c r="P262" s="2" t="s">
        <v>900</v>
      </c>
      <c r="Q262" s="2"/>
      <c r="R262" s="2">
        <v>20.0</v>
      </c>
      <c r="S262" s="2" t="s">
        <v>97</v>
      </c>
      <c r="T262" s="2"/>
      <c r="U262" s="2"/>
      <c r="V262" s="2"/>
    </row>
    <row r="263">
      <c r="A263" s="2" t="s">
        <v>1510</v>
      </c>
      <c r="B263" s="2"/>
      <c r="C263" s="2" t="s">
        <v>1478</v>
      </c>
      <c r="D263" s="2" t="s">
        <v>123</v>
      </c>
      <c r="E263" s="2"/>
      <c r="F263" s="2" t="s">
        <v>1511</v>
      </c>
      <c r="G263" s="2" t="s">
        <v>1512</v>
      </c>
      <c r="H263" s="2"/>
      <c r="I263" s="2" t="s">
        <v>163</v>
      </c>
      <c r="J263" s="3" t="str">
        <f>HYPERLINK("https://politiken.dk/debat/kroniken/art10823595/Den-danske-kultur-er-en-større-udfordring-for-udlændinge-på-arbejdsmarkedet-end-sproget", "Læs artikel")</f>
        <v>Læs artikel</v>
      </c>
      <c r="K263" s="2" t="s">
        <v>31</v>
      </c>
      <c r="L263" s="2" t="s">
        <v>32</v>
      </c>
      <c r="M263" s="2" t="s">
        <v>33</v>
      </c>
      <c r="N263" s="2" t="s">
        <v>1513</v>
      </c>
      <c r="O263" s="2" t="s">
        <v>165</v>
      </c>
      <c r="P263" s="2" t="s">
        <v>1514</v>
      </c>
      <c r="Q263" s="2"/>
      <c r="R263" s="2">
        <v>30.0</v>
      </c>
      <c r="S263" s="2" t="s">
        <v>97</v>
      </c>
      <c r="T263" s="2"/>
      <c r="U263" s="2"/>
      <c r="V263" s="2"/>
    </row>
    <row r="264">
      <c r="A264" s="2" t="s">
        <v>1515</v>
      </c>
      <c r="B264" s="2"/>
      <c r="C264" s="2" t="s">
        <v>1478</v>
      </c>
      <c r="D264" s="2" t="s">
        <v>123</v>
      </c>
      <c r="E264" s="2"/>
      <c r="F264" s="2" t="s">
        <v>1516</v>
      </c>
      <c r="G264" s="2" t="s">
        <v>1517</v>
      </c>
      <c r="H264" s="2"/>
      <c r="I264" s="2" t="s">
        <v>30</v>
      </c>
      <c r="J264" s="3" t="str">
        <f>HYPERLINK("https://politiken.dk/debat/debatindlaeg/art10853142/Jeg-skal-nok-få-børn-men-hvad-med-25-årige-Kasper", "Læs artikel")</f>
        <v>Læs artikel</v>
      </c>
      <c r="K264" s="2" t="s">
        <v>31</v>
      </c>
      <c r="L264" s="2" t="s">
        <v>32</v>
      </c>
      <c r="M264" s="2" t="s">
        <v>33</v>
      </c>
      <c r="N264" s="2" t="s">
        <v>1518</v>
      </c>
      <c r="O264" s="2" t="s">
        <v>35</v>
      </c>
      <c r="P264" s="2" t="s">
        <v>118</v>
      </c>
      <c r="Q264" s="2"/>
      <c r="R264" s="2">
        <v>10.0</v>
      </c>
      <c r="S264" s="2" t="s">
        <v>134</v>
      </c>
      <c r="T264" s="2"/>
      <c r="U264" s="2"/>
      <c r="V264" s="2"/>
    </row>
    <row r="265">
      <c r="A265" s="2" t="s">
        <v>1519</v>
      </c>
      <c r="B265" s="2"/>
      <c r="C265" s="2" t="s">
        <v>1478</v>
      </c>
      <c r="D265" s="2" t="s">
        <v>123</v>
      </c>
      <c r="E265" s="2"/>
      <c r="F265" s="2" t="s">
        <v>1520</v>
      </c>
      <c r="G265" s="2" t="s">
        <v>1521</v>
      </c>
      <c r="H265" s="2"/>
      <c r="I265" s="2" t="s">
        <v>30</v>
      </c>
      <c r="J265" s="3" t="str">
        <f>HYPERLINK("https://politiken.dk/debat/debatindlaeg/art10844132/Skolen-skaber-ikke-inkompetente-mennesker-men-mennesker-der-tror-de-er-det", "Læs artikel")</f>
        <v>Læs artikel</v>
      </c>
      <c r="K265" s="2" t="s">
        <v>31</v>
      </c>
      <c r="L265" s="2" t="s">
        <v>32</v>
      </c>
      <c r="M265" s="2" t="s">
        <v>33</v>
      </c>
      <c r="N265" s="2" t="s">
        <v>1522</v>
      </c>
      <c r="O265" s="2" t="s">
        <v>35</v>
      </c>
      <c r="P265" s="2" t="s">
        <v>1523</v>
      </c>
      <c r="Q265" s="2"/>
      <c r="R265" s="2">
        <v>28.0</v>
      </c>
      <c r="S265" s="2" t="s">
        <v>281</v>
      </c>
      <c r="T265" s="2" t="s">
        <v>818</v>
      </c>
      <c r="U265" s="2"/>
      <c r="V265" s="2"/>
    </row>
    <row r="266">
      <c r="A266" s="2" t="s">
        <v>1524</v>
      </c>
      <c r="B266" s="2"/>
      <c r="C266" s="2" t="s">
        <v>1478</v>
      </c>
      <c r="D266" s="2" t="s">
        <v>123</v>
      </c>
      <c r="E266" s="2"/>
      <c r="F266" s="2" t="s">
        <v>1525</v>
      </c>
      <c r="G266" s="2" t="s">
        <v>1526</v>
      </c>
      <c r="H266" s="2"/>
      <c r="I266" s="2" t="s">
        <v>30</v>
      </c>
      <c r="J266" s="3" t="str">
        <f>HYPERLINK("https://politiken.dk/debat/debatindlaeg/art10856315/Reaktionerne-bekræfter-at-danske-anmeldere-er-domineret-af-en-dømmesyg-og-blind-venstreorientering", "Læs artikel")</f>
        <v>Læs artikel</v>
      </c>
      <c r="K266" s="2" t="s">
        <v>31</v>
      </c>
      <c r="L266" s="2" t="s">
        <v>32</v>
      </c>
      <c r="M266" s="2" t="s">
        <v>33</v>
      </c>
      <c r="N266" s="2" t="s">
        <v>1527</v>
      </c>
      <c r="O266" s="2" t="s">
        <v>35</v>
      </c>
      <c r="P266" s="2" t="s">
        <v>104</v>
      </c>
      <c r="Q266" s="2" t="s">
        <v>497</v>
      </c>
      <c r="R266" s="2">
        <v>62.0</v>
      </c>
      <c r="S266" s="2" t="s">
        <v>1528</v>
      </c>
      <c r="T266" s="2"/>
      <c r="U266" s="2"/>
      <c r="V266" s="2"/>
    </row>
    <row r="267">
      <c r="A267" s="2" t="s">
        <v>1529</v>
      </c>
      <c r="B267" s="2"/>
      <c r="C267" s="2" t="s">
        <v>1478</v>
      </c>
      <c r="D267" s="2" t="s">
        <v>123</v>
      </c>
      <c r="E267" s="2"/>
      <c r="F267" s="2" t="s">
        <v>1530</v>
      </c>
      <c r="G267" s="2" t="s">
        <v>1531</v>
      </c>
      <c r="H267" s="2"/>
      <c r="I267" s="2" t="s">
        <v>30</v>
      </c>
      <c r="J267" s="3" t="str">
        <f>HYPERLINK("https://politiken.dk/debat/debatindlaeg/art10850383/»Pris-pris-og-pris«-siger-Det-Faglige-Hus.-Det-er-næsten-rørende-ærligt", "Læs artikel")</f>
        <v>Læs artikel</v>
      </c>
      <c r="K267" s="2" t="s">
        <v>31</v>
      </c>
      <c r="L267" s="2" t="s">
        <v>32</v>
      </c>
      <c r="M267" s="2" t="s">
        <v>33</v>
      </c>
      <c r="N267" s="2" t="s">
        <v>1532</v>
      </c>
      <c r="O267" s="2" t="s">
        <v>35</v>
      </c>
      <c r="P267" s="2" t="s">
        <v>243</v>
      </c>
      <c r="Q267" s="2"/>
      <c r="R267" s="2">
        <v>18.0</v>
      </c>
      <c r="S267" s="2" t="s">
        <v>112</v>
      </c>
      <c r="T267" s="2"/>
      <c r="U267" s="2"/>
      <c r="V267" s="2"/>
    </row>
    <row r="268">
      <c r="A268" s="2" t="s">
        <v>1533</v>
      </c>
      <c r="B268" s="2"/>
      <c r="C268" s="2" t="s">
        <v>1478</v>
      </c>
      <c r="D268" s="2" t="s">
        <v>123</v>
      </c>
      <c r="E268" s="2"/>
      <c r="F268" s="2" t="s">
        <v>1534</v>
      </c>
      <c r="G268" s="2" t="s">
        <v>1535</v>
      </c>
      <c r="H268" s="2"/>
      <c r="I268" s="2" t="s">
        <v>395</v>
      </c>
      <c r="J268" s="3" t="str">
        <f>HYPERLINK("https://politiken.dk/debat/ledere/art10856506/Det-er-uantageligt.-Både-ud-fra-et-moralsk-og-et-demokratisk-perspektiv", "Læs artikel")</f>
        <v>Læs artikel</v>
      </c>
      <c r="K268" s="2" t="s">
        <v>31</v>
      </c>
      <c r="L268" s="2" t="s">
        <v>32</v>
      </c>
      <c r="M268" s="2" t="s">
        <v>33</v>
      </c>
      <c r="N268" s="2" t="s">
        <v>1536</v>
      </c>
      <c r="O268" s="2"/>
      <c r="P268" s="2"/>
      <c r="Q268" s="2"/>
      <c r="R268" s="2">
        <v>0.0</v>
      </c>
      <c r="S268" s="2"/>
      <c r="T268" s="2"/>
      <c r="U268" s="2"/>
      <c r="V268" s="2"/>
    </row>
    <row r="269">
      <c r="A269" s="2" t="s">
        <v>1537</v>
      </c>
      <c r="B269" s="2"/>
      <c r="C269" s="2" t="s">
        <v>1478</v>
      </c>
      <c r="D269" s="2" t="s">
        <v>123</v>
      </c>
      <c r="E269" s="2"/>
      <c r="F269" s="2" t="s">
        <v>1538</v>
      </c>
      <c r="G269" s="2" t="s">
        <v>1539</v>
      </c>
      <c r="H269" s="2"/>
      <c r="I269" s="2" t="s">
        <v>30</v>
      </c>
      <c r="J269" s="3" t="str">
        <f>HYPERLINK("https://politiken.dk/debat/art10849627/Jeg-er-så-glad-for-min-cykel.-Og-den-betyder-meget-mere-end-to-hjul-med-pedaler-på", "Læs artikel")</f>
        <v>Læs artikel</v>
      </c>
      <c r="K269" s="2" t="s">
        <v>31</v>
      </c>
      <c r="L269" s="2" t="s">
        <v>32</v>
      </c>
      <c r="M269" s="2" t="s">
        <v>33</v>
      </c>
      <c r="N269" s="2" t="s">
        <v>1540</v>
      </c>
      <c r="O269" s="2" t="s">
        <v>35</v>
      </c>
      <c r="P269" s="2" t="s">
        <v>133</v>
      </c>
      <c r="Q269" s="2" t="s">
        <v>1541</v>
      </c>
      <c r="R269" s="2">
        <v>28.0</v>
      </c>
      <c r="S269" s="2" t="s">
        <v>1542</v>
      </c>
      <c r="T269" s="2"/>
      <c r="U269" s="2"/>
      <c r="V269" s="2"/>
    </row>
    <row r="270">
      <c r="A270" s="2" t="s">
        <v>1543</v>
      </c>
      <c r="B270" s="2"/>
      <c r="C270" s="2" t="s">
        <v>1478</v>
      </c>
      <c r="D270" s="2" t="s">
        <v>123</v>
      </c>
      <c r="E270" s="2"/>
      <c r="F270" s="2" t="s">
        <v>1544</v>
      </c>
      <c r="G270" s="2" t="s">
        <v>1545</v>
      </c>
      <c r="H270" s="2"/>
      <c r="I270" s="2" t="s">
        <v>30</v>
      </c>
      <c r="J270" s="3" t="str">
        <f>HYPERLINK("https://politiken.dk/debat/debatindlaeg/art10850366/Gymnasieelev-Forældre-har-et-ansvar-for-deres-børns-marmeladehjerner", "Læs artikel")</f>
        <v>Læs artikel</v>
      </c>
      <c r="K270" s="2" t="s">
        <v>31</v>
      </c>
      <c r="L270" s="2" t="s">
        <v>32</v>
      </c>
      <c r="M270" s="2" t="s">
        <v>33</v>
      </c>
      <c r="N270" s="2" t="s">
        <v>1546</v>
      </c>
      <c r="O270" s="2" t="s">
        <v>35</v>
      </c>
      <c r="P270" s="2" t="s">
        <v>1547</v>
      </c>
      <c r="Q270" s="2"/>
      <c r="R270" s="2">
        <v>38.0</v>
      </c>
      <c r="S270" s="2" t="s">
        <v>288</v>
      </c>
      <c r="T270" s="2" t="s">
        <v>172</v>
      </c>
      <c r="U270" s="2"/>
      <c r="V270" s="2"/>
    </row>
    <row r="271">
      <c r="A271" s="2" t="s">
        <v>1548</v>
      </c>
      <c r="B271" s="2"/>
      <c r="C271" s="2" t="s">
        <v>1478</v>
      </c>
      <c r="D271" s="2" t="s">
        <v>123</v>
      </c>
      <c r="E271" s="2"/>
      <c r="F271" s="2" t="s">
        <v>1549</v>
      </c>
      <c r="G271" s="2" t="s">
        <v>1550</v>
      </c>
      <c r="H271" s="2"/>
      <c r="I271" s="2" t="s">
        <v>163</v>
      </c>
      <c r="J271" s="3" t="str">
        <f>HYPERLINK("https://politiken.dk/debat/kroniken/art10856127/Samtykke-starter-et-andet-sted-end-i-sengen", "Læs artikel")</f>
        <v>Læs artikel</v>
      </c>
      <c r="K271" s="2" t="s">
        <v>31</v>
      </c>
      <c r="L271" s="2" t="s">
        <v>32</v>
      </c>
      <c r="M271" s="2" t="s">
        <v>33</v>
      </c>
      <c r="N271" s="2" t="s">
        <v>1551</v>
      </c>
      <c r="O271" s="2" t="s">
        <v>165</v>
      </c>
      <c r="P271" s="2"/>
      <c r="Q271" s="2"/>
      <c r="R271" s="2">
        <v>0.0</v>
      </c>
      <c r="S271" s="2"/>
      <c r="T271" s="2"/>
      <c r="U271" s="2"/>
      <c r="V271" s="2"/>
    </row>
    <row r="272">
      <c r="A272" s="2" t="s">
        <v>1552</v>
      </c>
      <c r="B272" s="2"/>
      <c r="C272" s="2" t="s">
        <v>1478</v>
      </c>
      <c r="D272" s="2" t="s">
        <v>123</v>
      </c>
      <c r="E272" s="2"/>
      <c r="F272" s="2" t="s">
        <v>1553</v>
      </c>
      <c r="G272" s="2" t="s">
        <v>1554</v>
      </c>
      <c r="H272" s="2"/>
      <c r="I272" s="2" t="s">
        <v>30</v>
      </c>
      <c r="J272" s="3" t="str">
        <f>HYPERLINK("https://politiken.dk/debat/debatindlaeg/art10853124/Ja-vi-unge-er-trætte-og-forvirrede.-Det-hjælper-ikke-at-I-hele-tiden-uforstående-spørger-os-hvorfor", "Læs artikel")</f>
        <v>Læs artikel</v>
      </c>
      <c r="K272" s="2" t="s">
        <v>31</v>
      </c>
      <c r="L272" s="2" t="s">
        <v>32</v>
      </c>
      <c r="M272" s="2" t="s">
        <v>33</v>
      </c>
      <c r="N272" s="2" t="s">
        <v>1555</v>
      </c>
      <c r="O272" s="2" t="s">
        <v>35</v>
      </c>
      <c r="P272" s="2" t="s">
        <v>1132</v>
      </c>
      <c r="Q272" s="2"/>
      <c r="R272" s="2">
        <v>20.0</v>
      </c>
      <c r="S272" s="2" t="s">
        <v>97</v>
      </c>
      <c r="T272" s="2"/>
      <c r="U272" s="2"/>
      <c r="V272" s="2"/>
    </row>
    <row r="273">
      <c r="A273" s="2" t="s">
        <v>1556</v>
      </c>
      <c r="B273" s="2"/>
      <c r="C273" s="2" t="s">
        <v>1478</v>
      </c>
      <c r="D273" s="2" t="s">
        <v>123</v>
      </c>
      <c r="E273" s="2"/>
      <c r="F273" s="2" t="s">
        <v>1557</v>
      </c>
      <c r="G273" s="2" t="s">
        <v>1558</v>
      </c>
      <c r="H273" s="2"/>
      <c r="I273" s="2" t="s">
        <v>30</v>
      </c>
      <c r="J273" s="3" t="str">
        <f>HYPERLINK("https://politiken.dk/debat/debatindlaeg/art10851847/Det-mest-danske-efterhånden-er-ikke-håndtrykket.-Det-er-småligheden", "Læs artikel")</f>
        <v>Læs artikel</v>
      </c>
      <c r="K273" s="2" t="s">
        <v>31</v>
      </c>
      <c r="L273" s="2" t="s">
        <v>32</v>
      </c>
      <c r="M273" s="2" t="s">
        <v>33</v>
      </c>
      <c r="N273" s="2" t="s">
        <v>1559</v>
      </c>
      <c r="O273" s="2" t="s">
        <v>35</v>
      </c>
      <c r="P273" s="2" t="s">
        <v>1560</v>
      </c>
      <c r="Q273" s="2"/>
      <c r="R273" s="2">
        <v>38.0</v>
      </c>
      <c r="S273" s="2" t="s">
        <v>1561</v>
      </c>
      <c r="T273" s="2"/>
      <c r="U273" s="2"/>
      <c r="V273" s="2"/>
    </row>
    <row r="274">
      <c r="A274" s="2" t="s">
        <v>1562</v>
      </c>
      <c r="B274" s="2"/>
      <c r="C274" s="2" t="s">
        <v>1478</v>
      </c>
      <c r="D274" s="2" t="s">
        <v>123</v>
      </c>
      <c r="E274" s="2"/>
      <c r="F274" s="2" t="s">
        <v>1563</v>
      </c>
      <c r="G274" s="2" t="s">
        <v>1564</v>
      </c>
      <c r="H274" s="2"/>
      <c r="I274" s="2" t="s">
        <v>163</v>
      </c>
      <c r="J274" s="3" t="str">
        <f>HYPERLINK("https://politiken.dk/debat/kroniken/art10836729/Cheføkonom-Genåbn-Risø-som-aktiv-atomforsøgsstation.-Det-haster", "Læs artikel")</f>
        <v>Læs artikel</v>
      </c>
      <c r="K274" s="2" t="s">
        <v>31</v>
      </c>
      <c r="L274" s="2" t="s">
        <v>32</v>
      </c>
      <c r="M274" s="2" t="s">
        <v>33</v>
      </c>
      <c r="N274" s="2" t="s">
        <v>1565</v>
      </c>
      <c r="O274" s="2" t="s">
        <v>165</v>
      </c>
      <c r="P274" s="2" t="s">
        <v>41</v>
      </c>
      <c r="Q274" s="2"/>
      <c r="R274" s="2">
        <v>0.0</v>
      </c>
      <c r="S274" s="2"/>
      <c r="T274" s="2"/>
      <c r="U274" s="2"/>
      <c r="V274" s="2"/>
    </row>
    <row r="275">
      <c r="A275" s="2" t="s">
        <v>1566</v>
      </c>
      <c r="B275" s="2"/>
      <c r="C275" s="2" t="s">
        <v>1478</v>
      </c>
      <c r="D275" s="2" t="s">
        <v>123</v>
      </c>
      <c r="E275" s="2"/>
      <c r="F275" s="2" t="s">
        <v>1567</v>
      </c>
      <c r="G275" s="2" t="s">
        <v>1568</v>
      </c>
      <c r="H275" s="2"/>
      <c r="I275" s="2" t="s">
        <v>234</v>
      </c>
      <c r="J275" s="3" t="str">
        <f>HYPERLINK("https://politiken.dk/debat/klummer/art10837844/»Måske-er-det-ønsketænkning-men-jeg-vil-ikke-blive-overrasket-hvis-det-bryder-sammen-for-Putin«", "Læs artikel")</f>
        <v>Læs artikel</v>
      </c>
      <c r="K275" s="2" t="s">
        <v>31</v>
      </c>
      <c r="L275" s="2" t="s">
        <v>32</v>
      </c>
      <c r="M275" s="2" t="s">
        <v>33</v>
      </c>
      <c r="N275" s="2" t="s">
        <v>1569</v>
      </c>
      <c r="O275" s="2"/>
      <c r="P275" s="2" t="s">
        <v>1570</v>
      </c>
      <c r="Q275" s="2"/>
      <c r="R275" s="2">
        <v>26.0</v>
      </c>
      <c r="S275" s="2" t="s">
        <v>311</v>
      </c>
      <c r="T275" s="2"/>
      <c r="U275" s="2"/>
      <c r="V275" s="2"/>
    </row>
    <row r="276">
      <c r="A276" s="2" t="s">
        <v>1571</v>
      </c>
      <c r="B276" s="2"/>
      <c r="C276" s="2" t="s">
        <v>1478</v>
      </c>
      <c r="D276" s="2" t="s">
        <v>123</v>
      </c>
      <c r="E276" s="2"/>
      <c r="F276" s="2" t="s">
        <v>1572</v>
      </c>
      <c r="G276" s="2" t="s">
        <v>1573</v>
      </c>
      <c r="H276" s="2"/>
      <c r="I276" s="2" t="s">
        <v>395</v>
      </c>
      <c r="J276" s="3" t="str">
        <f>HYPERLINK("https://politiken.dk/debat/ledere/art10856679/Ingen-er-tjent-med-at-unge-mænd-ender-med-at-begå-overgreb-fordi-de-ikke-kender-eller-forstår-reglerne", "Læs artikel")</f>
        <v>Læs artikel</v>
      </c>
      <c r="K276" s="2" t="s">
        <v>31</v>
      </c>
      <c r="L276" s="2" t="s">
        <v>32</v>
      </c>
      <c r="M276" s="2" t="s">
        <v>33</v>
      </c>
      <c r="N276" s="2" t="s">
        <v>1574</v>
      </c>
      <c r="O276" s="2"/>
      <c r="P276" s="2" t="s">
        <v>443</v>
      </c>
      <c r="Q276" s="2"/>
      <c r="R276" s="2">
        <v>10.0</v>
      </c>
      <c r="S276" s="2" t="s">
        <v>134</v>
      </c>
      <c r="T276" s="2" t="s">
        <v>1575</v>
      </c>
      <c r="U276" s="2"/>
      <c r="V276" s="2"/>
    </row>
    <row r="277">
      <c r="A277" s="2" t="s">
        <v>1576</v>
      </c>
      <c r="B277" s="2"/>
      <c r="C277" s="2" t="s">
        <v>1478</v>
      </c>
      <c r="D277" s="2" t="s">
        <v>123</v>
      </c>
      <c r="E277" s="2"/>
      <c r="F277" s="2" t="s">
        <v>1577</v>
      </c>
      <c r="G277" s="2" t="s">
        <v>1578</v>
      </c>
      <c r="H277" s="2"/>
      <c r="I277" s="2" t="s">
        <v>30</v>
      </c>
      <c r="J277" s="3" t="str">
        <f>HYPERLINK("https://politiken.dk/debat/debatindlaeg/art10851697/Skolen-burde-måske-være-mere-som-en-børnehave", "Læs artikel")</f>
        <v>Læs artikel</v>
      </c>
      <c r="K277" s="2" t="s">
        <v>31</v>
      </c>
      <c r="L277" s="2" t="s">
        <v>32</v>
      </c>
      <c r="M277" s="2" t="s">
        <v>33</v>
      </c>
      <c r="N277" s="2" t="s">
        <v>1579</v>
      </c>
      <c r="O277" s="2" t="s">
        <v>35</v>
      </c>
      <c r="P277" s="2" t="s">
        <v>1132</v>
      </c>
      <c r="Q277" s="2"/>
      <c r="R277" s="2">
        <v>38.0</v>
      </c>
      <c r="S277" s="2" t="s">
        <v>288</v>
      </c>
      <c r="T277" s="2" t="s">
        <v>1580</v>
      </c>
      <c r="U277" s="2"/>
      <c r="V277" s="2"/>
    </row>
    <row r="278">
      <c r="A278" s="2" t="s">
        <v>1581</v>
      </c>
      <c r="B278" s="2"/>
      <c r="C278" s="2" t="s">
        <v>1478</v>
      </c>
      <c r="D278" s="2" t="s">
        <v>123</v>
      </c>
      <c r="E278" s="2"/>
      <c r="F278" s="2" t="s">
        <v>1582</v>
      </c>
      <c r="G278" s="2" t="s">
        <v>1583</v>
      </c>
      <c r="H278" s="2"/>
      <c r="I278" s="2" t="s">
        <v>30</v>
      </c>
      <c r="J278" s="3" t="str">
        <f>HYPERLINK("https://politiken.dk/debat/debatindlaeg/art10841604/Jeg-har-byttet-sneakers-ud-med-sko-med-hæl-–-ikke-af-forfængelighed-men-for-effekten", "Læs artikel")</f>
        <v>Læs artikel</v>
      </c>
      <c r="K278" s="2" t="s">
        <v>31</v>
      </c>
      <c r="L278" s="2" t="s">
        <v>32</v>
      </c>
      <c r="M278" s="2" t="s">
        <v>33</v>
      </c>
      <c r="N278" s="2" t="s">
        <v>1584</v>
      </c>
      <c r="O278" s="2" t="s">
        <v>35</v>
      </c>
      <c r="P278" s="2" t="s">
        <v>1420</v>
      </c>
      <c r="Q278" s="2"/>
      <c r="R278" s="2">
        <v>10.0</v>
      </c>
      <c r="S278" s="2" t="s">
        <v>74</v>
      </c>
      <c r="T278" s="2"/>
      <c r="U278" s="2"/>
      <c r="V278" s="2"/>
    </row>
    <row r="279">
      <c r="A279" s="2" t="s">
        <v>1585</v>
      </c>
      <c r="B279" s="2"/>
      <c r="C279" s="2" t="s">
        <v>1478</v>
      </c>
      <c r="D279" s="2" t="s">
        <v>123</v>
      </c>
      <c r="E279" s="2"/>
      <c r="F279" s="2" t="s">
        <v>1586</v>
      </c>
      <c r="G279" s="2" t="s">
        <v>1587</v>
      </c>
      <c r="H279" s="2"/>
      <c r="I279" s="2" t="s">
        <v>163</v>
      </c>
      <c r="J279" s="3" t="str">
        <f>HYPERLINK("https://politiken.dk/debat/kroniken/art10856191/Danmark-er-det-eneste-land-i-verden-der-har-indført-det-man-kan-kalde-tvangsdigitalisering", "Læs artikel")</f>
        <v>Læs artikel</v>
      </c>
      <c r="K279" s="2" t="s">
        <v>31</v>
      </c>
      <c r="L279" s="2" t="s">
        <v>32</v>
      </c>
      <c r="M279" s="2" t="s">
        <v>33</v>
      </c>
      <c r="N279" s="2" t="s">
        <v>1588</v>
      </c>
      <c r="O279" s="2" t="s">
        <v>165</v>
      </c>
      <c r="P279" s="2" t="s">
        <v>1476</v>
      </c>
      <c r="Q279" s="2"/>
      <c r="R279" s="2">
        <v>83.0</v>
      </c>
      <c r="S279" s="2" t="s">
        <v>1589</v>
      </c>
      <c r="T279" s="2" t="s">
        <v>759</v>
      </c>
      <c r="U279" s="2"/>
      <c r="V279" s="2"/>
    </row>
    <row r="280">
      <c r="A280" s="2" t="s">
        <v>1590</v>
      </c>
      <c r="B280" s="2"/>
      <c r="C280" s="2" t="s">
        <v>1478</v>
      </c>
      <c r="D280" s="2" t="s">
        <v>123</v>
      </c>
      <c r="E280" s="2"/>
      <c r="F280" s="2" t="s">
        <v>1591</v>
      </c>
      <c r="G280" s="2" t="s">
        <v>1592</v>
      </c>
      <c r="H280" s="2"/>
      <c r="I280" s="2" t="s">
        <v>30</v>
      </c>
      <c r="J280" s="3" t="str">
        <f>HYPERLINK("https://politiken.dk/debat/debatindlaeg/art10846226/Det-begyndte-som-en-effektiv-kommunikationsstrategi-men-LA’s-succes-har-en-pris", "Læs artikel")</f>
        <v>Læs artikel</v>
      </c>
      <c r="K280" s="2" t="s">
        <v>31</v>
      </c>
      <c r="L280" s="2" t="s">
        <v>32</v>
      </c>
      <c r="M280" s="2" t="s">
        <v>33</v>
      </c>
      <c r="N280" s="2" t="s">
        <v>1593</v>
      </c>
      <c r="O280" s="2" t="s">
        <v>35</v>
      </c>
      <c r="P280" s="2" t="s">
        <v>104</v>
      </c>
      <c r="Q280" s="2" t="s">
        <v>856</v>
      </c>
      <c r="R280" s="2">
        <v>42.0</v>
      </c>
      <c r="S280" s="2" t="s">
        <v>151</v>
      </c>
      <c r="T280" s="2"/>
      <c r="U280" s="2"/>
      <c r="V280" s="2"/>
    </row>
    <row r="281">
      <c r="A281" s="2" t="s">
        <v>1594</v>
      </c>
      <c r="B281" s="2"/>
      <c r="C281" s="2" t="s">
        <v>1478</v>
      </c>
      <c r="D281" s="2" t="s">
        <v>123</v>
      </c>
      <c r="E281" s="2"/>
      <c r="F281" s="2" t="s">
        <v>1595</v>
      </c>
      <c r="G281" s="2" t="s">
        <v>1596</v>
      </c>
      <c r="H281" s="2"/>
      <c r="I281" s="2" t="s">
        <v>30</v>
      </c>
      <c r="J281" s="3" t="str">
        <f>HYPERLINK("https://politiken.dk/debat/debatindlaeg/art10851692/Må-jeg-godt-stille-op-til-Folketinget-uden-at-føle-mig-dansk", "Læs artikel")</f>
        <v>Læs artikel</v>
      </c>
      <c r="K281" s="2" t="s">
        <v>31</v>
      </c>
      <c r="L281" s="2" t="s">
        <v>32</v>
      </c>
      <c r="M281" s="2" t="s">
        <v>33</v>
      </c>
      <c r="N281" s="2" t="s">
        <v>1597</v>
      </c>
      <c r="O281" s="2" t="s">
        <v>35</v>
      </c>
      <c r="P281" s="2" t="s">
        <v>133</v>
      </c>
      <c r="Q281" s="2" t="s">
        <v>555</v>
      </c>
      <c r="R281" s="2">
        <v>48.0</v>
      </c>
      <c r="S281" s="2" t="s">
        <v>1598</v>
      </c>
      <c r="T281" s="2"/>
      <c r="U281" s="2"/>
      <c r="V281" s="2"/>
    </row>
    <row r="282">
      <c r="A282" s="2" t="s">
        <v>1599</v>
      </c>
      <c r="B282" s="2"/>
      <c r="C282" s="2" t="s">
        <v>1478</v>
      </c>
      <c r="D282" s="2" t="s">
        <v>123</v>
      </c>
      <c r="E282" s="2"/>
      <c r="F282" s="2" t="s">
        <v>1600</v>
      </c>
      <c r="G282" s="2" t="s">
        <v>1601</v>
      </c>
      <c r="H282" s="2"/>
      <c r="I282" s="2" t="s">
        <v>30</v>
      </c>
      <c r="J282" s="3" t="str">
        <f>HYPERLINK("https://politiken.dk/debat/debatindlaeg/art10851655/Du-ville-sikkert-selv-få-et-lavt-karaktergennemsnit-hvis-du-tog-9.-klasses-afgangsprøve-nu", "Læs artikel")</f>
        <v>Læs artikel</v>
      </c>
      <c r="K282" s="2" t="s">
        <v>31</v>
      </c>
      <c r="L282" s="2" t="s">
        <v>32</v>
      </c>
      <c r="M282" s="2" t="s">
        <v>33</v>
      </c>
      <c r="N282" s="2" t="s">
        <v>1602</v>
      </c>
      <c r="O282" s="2" t="s">
        <v>35</v>
      </c>
      <c r="P282" s="2" t="s">
        <v>562</v>
      </c>
      <c r="Q282" s="2"/>
      <c r="R282" s="2">
        <v>20.0</v>
      </c>
      <c r="S282" s="2" t="s">
        <v>97</v>
      </c>
      <c r="T282" s="2"/>
      <c r="U282" s="2"/>
      <c r="V282" s="2"/>
    </row>
    <row r="283">
      <c r="A283" s="2" t="s">
        <v>1603</v>
      </c>
      <c r="B283" s="2"/>
      <c r="C283" s="2" t="s">
        <v>1478</v>
      </c>
      <c r="D283" s="2" t="s">
        <v>123</v>
      </c>
      <c r="E283" s="2"/>
      <c r="F283" s="2" t="s">
        <v>1604</v>
      </c>
      <c r="G283" s="2" t="s">
        <v>1605</v>
      </c>
      <c r="H283" s="2"/>
      <c r="I283" s="2" t="s">
        <v>395</v>
      </c>
      <c r="J283" s="3" t="str">
        <f>HYPERLINK("https://politiken.dk/debat/ledere/art10853192/Det-lyder-som-en-scene-i-en-gangsterfilm-men-det-er-virkeligheden-for-en-række-elkunder", "Læs artikel")</f>
        <v>Læs artikel</v>
      </c>
      <c r="K283" s="2" t="s">
        <v>31</v>
      </c>
      <c r="L283" s="2" t="s">
        <v>32</v>
      </c>
      <c r="M283" s="2" t="s">
        <v>33</v>
      </c>
      <c r="N283" s="2" t="s">
        <v>1606</v>
      </c>
      <c r="O283" s="2"/>
      <c r="P283" s="2"/>
      <c r="Q283" s="2"/>
      <c r="R283" s="2">
        <v>0.0</v>
      </c>
      <c r="S283" s="2"/>
      <c r="T283" s="2"/>
      <c r="U283" s="2"/>
      <c r="V283" s="2"/>
    </row>
    <row r="284">
      <c r="A284" s="2" t="s">
        <v>1607</v>
      </c>
      <c r="B284" s="2"/>
      <c r="C284" s="2" t="s">
        <v>1478</v>
      </c>
      <c r="D284" s="2" t="s">
        <v>123</v>
      </c>
      <c r="E284" s="2"/>
      <c r="F284" s="2" t="s">
        <v>1608</v>
      </c>
      <c r="G284" s="2" t="s">
        <v>1609</v>
      </c>
      <c r="H284" s="2"/>
      <c r="I284" s="2" t="s">
        <v>30</v>
      </c>
      <c r="J284" s="3" t="str">
        <f>HYPERLINK("https://politiken.dk/debat/debatindlaeg/art10847671/Der-findes-også-jurastuderende-der-ikke-jager-prestige-og-havudsigt", "Læs artikel")</f>
        <v>Læs artikel</v>
      </c>
      <c r="K284" s="2" t="s">
        <v>31</v>
      </c>
      <c r="L284" s="2" t="s">
        <v>32</v>
      </c>
      <c r="M284" s="2" t="s">
        <v>33</v>
      </c>
      <c r="N284" s="2" t="s">
        <v>1610</v>
      </c>
      <c r="O284" s="2" t="s">
        <v>35</v>
      </c>
      <c r="P284" s="2" t="s">
        <v>1611</v>
      </c>
      <c r="Q284" s="2"/>
      <c r="R284" s="2">
        <v>28.0</v>
      </c>
      <c r="S284" s="2" t="s">
        <v>281</v>
      </c>
      <c r="T284" s="2"/>
      <c r="U284" s="2"/>
      <c r="V284" s="2"/>
    </row>
    <row r="285">
      <c r="A285" s="2" t="s">
        <v>1612</v>
      </c>
      <c r="B285" s="2"/>
      <c r="C285" s="2" t="s">
        <v>1478</v>
      </c>
      <c r="D285" s="2" t="s">
        <v>123</v>
      </c>
      <c r="E285" s="2"/>
      <c r="F285" s="2" t="s">
        <v>1613</v>
      </c>
      <c r="G285" s="2" t="s">
        <v>1614</v>
      </c>
      <c r="H285" s="2"/>
      <c r="I285" s="2" t="s">
        <v>30</v>
      </c>
      <c r="J285" s="3" t="str">
        <f>HYPERLINK("https://politiken.dk/debat/debatindlaeg/art10846007/Sprogkrav-misbruges-til-politisk-eksklusion-af-flygtninge", "Læs artikel")</f>
        <v>Læs artikel</v>
      </c>
      <c r="K285" s="2" t="s">
        <v>31</v>
      </c>
      <c r="L285" s="2" t="s">
        <v>32</v>
      </c>
      <c r="M285" s="2" t="s">
        <v>33</v>
      </c>
      <c r="N285" s="2" t="s">
        <v>1615</v>
      </c>
      <c r="O285" s="2" t="s">
        <v>35</v>
      </c>
      <c r="P285" s="2" t="s">
        <v>1616</v>
      </c>
      <c r="Q285" s="2"/>
      <c r="R285" s="2">
        <v>48.0</v>
      </c>
      <c r="S285" s="2" t="s">
        <v>758</v>
      </c>
      <c r="T285" s="2"/>
      <c r="U285" s="2"/>
      <c r="V285" s="2"/>
    </row>
    <row r="286">
      <c r="A286" s="4" t="s">
        <v>1617</v>
      </c>
      <c r="B286" s="4"/>
      <c r="C286" s="4" t="s">
        <v>122</v>
      </c>
      <c r="D286" s="4" t="s">
        <v>123</v>
      </c>
      <c r="E286" s="4"/>
      <c r="F286" s="4" t="s">
        <v>124</v>
      </c>
      <c r="G286" s="4"/>
      <c r="H286" s="4"/>
      <c r="I286" s="4" t="s">
        <v>125</v>
      </c>
      <c r="J286" s="5" t="str">
        <f>HYPERLINK("https://www.altinget.dk/artikel/holstein-med-elendig-timing-har-olsen-dyhr-faaet-en-skramlet-start-som-minister", "Læs artikel")</f>
        <v>Læs artikel</v>
      </c>
      <c r="K286" s="4" t="s">
        <v>31</v>
      </c>
      <c r="L286" s="4" t="s">
        <v>32</v>
      </c>
      <c r="M286" s="4" t="s">
        <v>126</v>
      </c>
      <c r="N286" s="4" t="s">
        <v>1618</v>
      </c>
      <c r="O286" s="4" t="s">
        <v>128</v>
      </c>
      <c r="P286" s="4"/>
      <c r="Q286" s="4"/>
      <c r="R286" s="4">
        <v>0.0</v>
      </c>
      <c r="S286" s="4"/>
      <c r="T286" s="4"/>
      <c r="U286" s="4"/>
      <c r="V286"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s>
  <sheetData>
    <row r="1">
      <c r="A1" s="1" t="s">
        <v>1619</v>
      </c>
      <c r="B1" s="1" t="s">
        <v>11</v>
      </c>
      <c r="C1" s="1" t="s">
        <v>1620</v>
      </c>
      <c r="D1" s="1" t="s">
        <v>1621</v>
      </c>
      <c r="E1" s="1" t="s">
        <v>1622</v>
      </c>
      <c r="F1" s="1" t="s">
        <v>1623</v>
      </c>
    </row>
    <row r="2">
      <c r="A2" s="1" t="s">
        <v>1624</v>
      </c>
      <c r="B2" s="1" t="s">
        <v>1625</v>
      </c>
      <c r="C2" s="6">
        <v>58.0</v>
      </c>
      <c r="D2" s="6">
        <v>0.0</v>
      </c>
      <c r="E2" s="6">
        <v>58.0</v>
      </c>
    </row>
    <row r="3">
      <c r="A3" s="1" t="s">
        <v>1626</v>
      </c>
      <c r="B3" s="1" t="s">
        <v>1625</v>
      </c>
      <c r="C3" s="6">
        <v>58.0</v>
      </c>
      <c r="D3" s="6">
        <v>0.0</v>
      </c>
      <c r="E3" s="6">
        <v>58.0</v>
      </c>
    </row>
    <row r="4">
      <c r="A4" s="1" t="s">
        <v>1627</v>
      </c>
      <c r="B4" s="1" t="s">
        <v>1625</v>
      </c>
      <c r="C4" s="6">
        <v>58.0</v>
      </c>
      <c r="D4" s="6">
        <v>0.0</v>
      </c>
      <c r="E4" s="6">
        <v>58.0</v>
      </c>
    </row>
    <row r="5">
      <c r="A5" s="1" t="s">
        <v>1628</v>
      </c>
      <c r="B5" s="1" t="s">
        <v>1625</v>
      </c>
      <c r="C5" s="6">
        <v>58.0</v>
      </c>
      <c r="D5" s="6">
        <v>0.0</v>
      </c>
      <c r="E5" s="6">
        <v>58.0</v>
      </c>
    </row>
    <row r="6">
      <c r="A6" s="1" t="s">
        <v>1629</v>
      </c>
      <c r="B6" s="1" t="s">
        <v>1625</v>
      </c>
      <c r="C6" s="6">
        <v>58.0</v>
      </c>
      <c r="D6" s="6">
        <v>58.0</v>
      </c>
      <c r="E6" s="6">
        <v>0.0</v>
      </c>
    </row>
    <row r="7">
      <c r="A7" s="1" t="s">
        <v>1630</v>
      </c>
      <c r="B7" s="1" t="s">
        <v>1625</v>
      </c>
      <c r="C7" s="6">
        <v>73.0</v>
      </c>
      <c r="D7" s="6">
        <v>15.0</v>
      </c>
      <c r="E7" s="6">
        <v>58.0</v>
      </c>
    </row>
    <row r="8">
      <c r="A8" s="1" t="s">
        <v>1631</v>
      </c>
      <c r="B8" s="1" t="s">
        <v>1625</v>
      </c>
      <c r="C8" s="6">
        <v>58.0</v>
      </c>
      <c r="D8" s="6">
        <v>0.0</v>
      </c>
      <c r="E8" s="6">
        <v>58.0</v>
      </c>
    </row>
    <row r="9">
      <c r="A9" s="1" t="s">
        <v>1632</v>
      </c>
      <c r="B9" s="1" t="s">
        <v>1625</v>
      </c>
      <c r="C9" s="6">
        <v>58.0</v>
      </c>
      <c r="D9" s="6">
        <v>0.0</v>
      </c>
      <c r="E9" s="6">
        <v>58.0</v>
      </c>
    </row>
    <row r="10">
      <c r="A10" s="1" t="s">
        <v>1633</v>
      </c>
      <c r="B10" s="1" t="s">
        <v>1625</v>
      </c>
      <c r="C10" s="6">
        <v>58.0</v>
      </c>
      <c r="D10" s="6">
        <v>58.0</v>
      </c>
      <c r="E10" s="6">
        <v>0.0</v>
      </c>
    </row>
    <row r="11">
      <c r="A11" s="1" t="s">
        <v>1634</v>
      </c>
      <c r="B11" s="1" t="s">
        <v>1625</v>
      </c>
      <c r="C11" s="6">
        <v>58.0</v>
      </c>
      <c r="D11" s="6">
        <v>58.0</v>
      </c>
      <c r="E11" s="6">
        <v>0.0</v>
      </c>
    </row>
    <row r="12">
      <c r="A12" s="1" t="s">
        <v>1635</v>
      </c>
      <c r="B12" s="1" t="s">
        <v>1625</v>
      </c>
      <c r="C12" s="6">
        <v>58.0</v>
      </c>
      <c r="D12" s="6">
        <v>58.0</v>
      </c>
      <c r="E12" s="6">
        <v>0.0</v>
      </c>
    </row>
    <row r="13">
      <c r="A13" s="1" t="s">
        <v>1636</v>
      </c>
      <c r="B13" s="1" t="s">
        <v>1625</v>
      </c>
      <c r="C13" s="6">
        <v>58.0</v>
      </c>
      <c r="D13" s="6">
        <v>0.0</v>
      </c>
      <c r="E13" s="6">
        <v>58.0</v>
      </c>
    </row>
    <row r="14">
      <c r="A14" s="1" t="s">
        <v>1637</v>
      </c>
      <c r="B14" s="1" t="s">
        <v>1625</v>
      </c>
      <c r="C14" s="6">
        <v>58.0</v>
      </c>
      <c r="D14" s="6">
        <v>0.0</v>
      </c>
      <c r="E14" s="6">
        <v>58.0</v>
      </c>
    </row>
    <row r="15">
      <c r="A15" s="1" t="s">
        <v>1638</v>
      </c>
      <c r="B15" s="1" t="s">
        <v>1625</v>
      </c>
      <c r="C15" s="6">
        <v>58.0</v>
      </c>
      <c r="D15" s="6">
        <v>0.0</v>
      </c>
      <c r="E15" s="6">
        <v>58.0</v>
      </c>
    </row>
    <row r="16">
      <c r="A16" s="1" t="s">
        <v>1639</v>
      </c>
      <c r="B16" s="1" t="s">
        <v>1625</v>
      </c>
      <c r="C16" s="6">
        <v>58.0</v>
      </c>
      <c r="D16" s="6">
        <v>58.0</v>
      </c>
      <c r="E16" s="6">
        <v>0.0</v>
      </c>
    </row>
    <row r="17">
      <c r="A17" s="1" t="s">
        <v>1640</v>
      </c>
      <c r="B17" s="1" t="s">
        <v>1625</v>
      </c>
      <c r="C17" s="6">
        <v>58.0</v>
      </c>
      <c r="D17" s="6">
        <v>58.0</v>
      </c>
      <c r="E17" s="6">
        <v>0.0</v>
      </c>
    </row>
    <row r="18">
      <c r="A18" s="1" t="s">
        <v>1641</v>
      </c>
      <c r="B18" s="1" t="s">
        <v>1625</v>
      </c>
      <c r="C18" s="6">
        <v>58.0</v>
      </c>
      <c r="D18" s="6">
        <v>58.0</v>
      </c>
      <c r="E18" s="6">
        <v>0.0</v>
      </c>
    </row>
    <row r="19">
      <c r="A19" s="1" t="s">
        <v>1642</v>
      </c>
      <c r="B19" s="1" t="s">
        <v>1625</v>
      </c>
      <c r="C19" s="6">
        <v>62.0</v>
      </c>
      <c r="D19" s="6">
        <v>62.0</v>
      </c>
      <c r="E19" s="6">
        <v>0.0</v>
      </c>
    </row>
    <row r="20">
      <c r="A20" s="1" t="s">
        <v>1643</v>
      </c>
      <c r="B20" s="1" t="s">
        <v>1625</v>
      </c>
      <c r="C20" s="6">
        <v>62.0</v>
      </c>
      <c r="D20" s="6">
        <v>62.0</v>
      </c>
      <c r="E20" s="6">
        <v>0.0</v>
      </c>
    </row>
    <row r="21">
      <c r="A21" s="1" t="s">
        <v>1644</v>
      </c>
      <c r="B21" s="1" t="s">
        <v>1625</v>
      </c>
      <c r="C21" s="6">
        <v>62.0</v>
      </c>
      <c r="D21" s="6">
        <v>62.0</v>
      </c>
      <c r="E21" s="6">
        <v>0.0</v>
      </c>
    </row>
    <row r="22">
      <c r="A22" s="1" t="s">
        <v>1645</v>
      </c>
      <c r="B22" s="1" t="s">
        <v>1625</v>
      </c>
      <c r="C22" s="6">
        <v>62.0</v>
      </c>
      <c r="D22" s="6">
        <v>62.0</v>
      </c>
      <c r="E22" s="6">
        <v>0.0</v>
      </c>
    </row>
    <row r="23">
      <c r="A23" s="1" t="s">
        <v>1646</v>
      </c>
      <c r="B23" s="1" t="s">
        <v>1625</v>
      </c>
      <c r="C23" s="6">
        <v>62.0</v>
      </c>
      <c r="D23" s="6">
        <v>62.0</v>
      </c>
      <c r="E23" s="6">
        <v>0.0</v>
      </c>
    </row>
    <row r="24">
      <c r="A24" s="1" t="s">
        <v>1647</v>
      </c>
      <c r="B24" s="1" t="s">
        <v>1625</v>
      </c>
      <c r="C24" s="6">
        <v>62.0</v>
      </c>
      <c r="D24" s="6">
        <v>0.0</v>
      </c>
      <c r="E24" s="6">
        <v>62.0</v>
      </c>
    </row>
    <row r="25">
      <c r="A25" s="1" t="s">
        <v>1648</v>
      </c>
      <c r="B25" s="1" t="s">
        <v>1625</v>
      </c>
      <c r="C25" s="6">
        <v>62.0</v>
      </c>
      <c r="D25" s="6">
        <v>62.0</v>
      </c>
      <c r="E25" s="6">
        <v>0.0</v>
      </c>
    </row>
    <row r="26">
      <c r="A26" s="1" t="s">
        <v>1649</v>
      </c>
      <c r="B26" s="1" t="s">
        <v>1625</v>
      </c>
      <c r="C26" s="6">
        <v>62.0</v>
      </c>
      <c r="D26" s="6">
        <v>0.0</v>
      </c>
      <c r="E26" s="6">
        <v>62.0</v>
      </c>
    </row>
    <row r="27">
      <c r="A27" s="1" t="s">
        <v>1650</v>
      </c>
      <c r="B27" s="1" t="s">
        <v>1625</v>
      </c>
      <c r="C27" s="6">
        <v>62.0</v>
      </c>
      <c r="D27" s="6">
        <v>0.0</v>
      </c>
      <c r="E27" s="6">
        <v>62.0</v>
      </c>
    </row>
    <row r="28">
      <c r="A28" s="1" t="s">
        <v>1651</v>
      </c>
      <c r="B28" s="1" t="s">
        <v>1625</v>
      </c>
      <c r="C28" s="6">
        <v>62.0</v>
      </c>
      <c r="D28" s="6">
        <v>0.0</v>
      </c>
      <c r="E28" s="6">
        <v>62.0</v>
      </c>
    </row>
    <row r="29">
      <c r="A29" s="1" t="s">
        <v>1652</v>
      </c>
      <c r="B29" s="1" t="s">
        <v>1625</v>
      </c>
      <c r="C29" s="6">
        <v>62.0</v>
      </c>
      <c r="D29" s="6">
        <v>0.0</v>
      </c>
      <c r="E29" s="6">
        <v>62.0</v>
      </c>
    </row>
    <row r="30">
      <c r="A30" s="1" t="s">
        <v>1653</v>
      </c>
      <c r="B30" s="1" t="s">
        <v>1625</v>
      </c>
      <c r="C30" s="6">
        <v>62.0</v>
      </c>
      <c r="D30" s="6">
        <v>0.0</v>
      </c>
      <c r="E30" s="6">
        <v>62.0</v>
      </c>
    </row>
    <row r="31">
      <c r="A31" s="1" t="s">
        <v>1654</v>
      </c>
      <c r="B31" s="1" t="s">
        <v>1625</v>
      </c>
      <c r="C31" s="6">
        <v>62.0</v>
      </c>
      <c r="D31" s="6">
        <v>0.0</v>
      </c>
      <c r="E31" s="6">
        <v>62.0</v>
      </c>
    </row>
    <row r="32">
      <c r="A32" s="1" t="s">
        <v>1655</v>
      </c>
      <c r="B32" s="1" t="s">
        <v>1625</v>
      </c>
      <c r="C32" s="6">
        <v>62.0</v>
      </c>
      <c r="D32" s="6">
        <v>0.0</v>
      </c>
      <c r="E32" s="6">
        <v>62.0</v>
      </c>
    </row>
    <row r="33">
      <c r="A33" s="1" t="s">
        <v>1656</v>
      </c>
      <c r="B33" s="1" t="s">
        <v>1625</v>
      </c>
      <c r="C33" s="6">
        <v>62.0</v>
      </c>
      <c r="D33" s="6">
        <v>0.0</v>
      </c>
      <c r="E33" s="6">
        <v>62.0</v>
      </c>
    </row>
    <row r="34">
      <c r="A34" s="1" t="s">
        <v>1657</v>
      </c>
      <c r="B34" s="1" t="s">
        <v>1625</v>
      </c>
      <c r="C34" s="6">
        <v>62.0</v>
      </c>
      <c r="D34" s="6">
        <v>0.0</v>
      </c>
      <c r="E34" s="6">
        <v>62.0</v>
      </c>
    </row>
    <row r="35">
      <c r="A35" s="1" t="s">
        <v>1658</v>
      </c>
      <c r="B35" s="1" t="s">
        <v>1625</v>
      </c>
      <c r="C35" s="6">
        <v>62.0</v>
      </c>
      <c r="D35" s="6">
        <v>0.0</v>
      </c>
      <c r="E35" s="6">
        <v>62.0</v>
      </c>
    </row>
    <row r="36">
      <c r="A36" s="1" t="s">
        <v>1659</v>
      </c>
      <c r="B36" s="1" t="s">
        <v>1625</v>
      </c>
      <c r="C36" s="6">
        <v>62.0</v>
      </c>
      <c r="D36" s="6">
        <v>0.0</v>
      </c>
      <c r="E36" s="6">
        <v>62.0</v>
      </c>
    </row>
    <row r="37">
      <c r="A37" s="1" t="s">
        <v>1660</v>
      </c>
      <c r="B37" s="1" t="s">
        <v>1625</v>
      </c>
      <c r="C37" s="6">
        <v>62.0</v>
      </c>
      <c r="D37" s="6">
        <v>0.0</v>
      </c>
      <c r="E37" s="6">
        <v>62.0</v>
      </c>
    </row>
    <row r="38">
      <c r="A38" s="1" t="s">
        <v>1661</v>
      </c>
      <c r="B38" s="1" t="s">
        <v>1625</v>
      </c>
      <c r="C38" s="6">
        <v>92.0</v>
      </c>
      <c r="D38" s="6">
        <v>30.0</v>
      </c>
      <c r="E38" s="6">
        <v>62.0</v>
      </c>
    </row>
    <row r="39">
      <c r="A39" s="1" t="s">
        <v>1662</v>
      </c>
      <c r="B39" s="1" t="s">
        <v>1625</v>
      </c>
      <c r="C39" s="6">
        <v>92.0</v>
      </c>
      <c r="D39" s="6">
        <v>0.0</v>
      </c>
      <c r="E39" s="6">
        <v>92.0</v>
      </c>
    </row>
    <row r="40">
      <c r="A40" s="1" t="s">
        <v>1663</v>
      </c>
      <c r="B40" s="1" t="s">
        <v>1625</v>
      </c>
      <c r="C40" s="6">
        <v>92.0</v>
      </c>
      <c r="D40" s="6">
        <v>0.0</v>
      </c>
      <c r="E40" s="6">
        <v>92.0</v>
      </c>
    </row>
    <row r="41">
      <c r="A41" s="1" t="s">
        <v>1664</v>
      </c>
      <c r="B41" s="1" t="s">
        <v>1625</v>
      </c>
      <c r="C41" s="6">
        <v>92.0</v>
      </c>
      <c r="D41" s="6">
        <v>92.0</v>
      </c>
      <c r="E41" s="6">
        <v>0.0</v>
      </c>
    </row>
    <row r="42">
      <c r="A42" s="1" t="s">
        <v>1665</v>
      </c>
      <c r="B42" s="1" t="s">
        <v>1625</v>
      </c>
      <c r="C42" s="6">
        <v>92.0</v>
      </c>
      <c r="D42" s="6">
        <v>91.0</v>
      </c>
      <c r="E42" s="6">
        <v>1.0</v>
      </c>
    </row>
    <row r="43">
      <c r="A43" s="1" t="s">
        <v>1666</v>
      </c>
      <c r="B43" s="1" t="s">
        <v>1625</v>
      </c>
      <c r="C43" s="6">
        <v>92.0</v>
      </c>
      <c r="D43" s="6">
        <v>91.0</v>
      </c>
      <c r="E43" s="6">
        <v>1.0</v>
      </c>
    </row>
    <row r="44">
      <c r="A44" s="1" t="s">
        <v>1667</v>
      </c>
      <c r="B44" s="1" t="s">
        <v>1625</v>
      </c>
      <c r="C44" s="6">
        <v>120.0</v>
      </c>
      <c r="D44" s="6">
        <v>28.0</v>
      </c>
      <c r="E44" s="6">
        <v>92.0</v>
      </c>
    </row>
    <row r="45">
      <c r="A45" s="1" t="s">
        <v>1668</v>
      </c>
      <c r="B45" s="1" t="s">
        <v>1625</v>
      </c>
      <c r="C45" s="6">
        <v>120.0</v>
      </c>
      <c r="D45" s="6">
        <v>0.0</v>
      </c>
      <c r="E45" s="6">
        <v>120.0</v>
      </c>
    </row>
    <row r="46">
      <c r="A46" s="1" t="s">
        <v>1669</v>
      </c>
      <c r="B46" s="1" t="s">
        <v>1625</v>
      </c>
      <c r="C46" s="6">
        <v>109.0</v>
      </c>
      <c r="D46" s="6">
        <v>19.0</v>
      </c>
      <c r="E46" s="6">
        <v>90.0</v>
      </c>
    </row>
    <row r="47">
      <c r="A47" s="1" t="s">
        <v>1670</v>
      </c>
      <c r="B47" s="1" t="s">
        <v>1625</v>
      </c>
      <c r="C47" s="6">
        <v>108.0</v>
      </c>
      <c r="D47" s="6">
        <v>107.0</v>
      </c>
      <c r="E47" s="6">
        <v>1.0</v>
      </c>
    </row>
    <row r="48">
      <c r="A48" s="1" t="s">
        <v>1671</v>
      </c>
      <c r="B48" s="1" t="s">
        <v>1625</v>
      </c>
      <c r="C48" s="6">
        <v>108.0</v>
      </c>
      <c r="D48" s="6">
        <v>1.0</v>
      </c>
      <c r="E48" s="6">
        <v>107.0</v>
      </c>
    </row>
    <row r="49">
      <c r="A49" s="1" t="s">
        <v>1672</v>
      </c>
      <c r="B49" s="1" t="s">
        <v>1625</v>
      </c>
      <c r="C49" s="6">
        <v>108.0</v>
      </c>
      <c r="D49" s="6">
        <v>0.0</v>
      </c>
      <c r="E49" s="6">
        <v>108.0</v>
      </c>
    </row>
    <row r="50">
      <c r="A50" s="1" t="s">
        <v>1673</v>
      </c>
      <c r="B50" s="1" t="s">
        <v>1625</v>
      </c>
      <c r="C50" s="6">
        <v>111.0</v>
      </c>
      <c r="D50" s="6">
        <v>21.0</v>
      </c>
      <c r="E50" s="6">
        <v>90.0</v>
      </c>
    </row>
    <row r="51">
      <c r="A51" s="1" t="s">
        <v>1674</v>
      </c>
      <c r="B51" s="1" t="s">
        <v>1625</v>
      </c>
      <c r="C51" s="6">
        <v>111.0</v>
      </c>
      <c r="D51" s="6">
        <v>110.0</v>
      </c>
      <c r="E51" s="6">
        <v>1.0</v>
      </c>
    </row>
    <row r="52">
      <c r="A52" s="1" t="s">
        <v>1675</v>
      </c>
      <c r="B52" s="1" t="s">
        <v>1625</v>
      </c>
      <c r="C52" s="6">
        <v>112.0</v>
      </c>
      <c r="D52" s="6">
        <v>3.0</v>
      </c>
      <c r="E52" s="6">
        <v>109.0</v>
      </c>
    </row>
    <row r="53">
      <c r="A53" s="1" t="s">
        <v>1676</v>
      </c>
      <c r="B53" s="1" t="s">
        <v>1625</v>
      </c>
      <c r="C53" s="6">
        <v>112.0</v>
      </c>
      <c r="D53" s="6">
        <v>1.0</v>
      </c>
      <c r="E53" s="6">
        <v>111.0</v>
      </c>
    </row>
    <row r="54">
      <c r="A54" s="1" t="s">
        <v>1677</v>
      </c>
      <c r="B54" s="1" t="s">
        <v>1625</v>
      </c>
      <c r="C54" s="6">
        <v>106.0</v>
      </c>
      <c r="D54" s="6">
        <v>1.0</v>
      </c>
      <c r="E54" s="6">
        <v>105.0</v>
      </c>
    </row>
    <row r="55">
      <c r="A55" s="1" t="s">
        <v>1678</v>
      </c>
      <c r="B55" s="1" t="s">
        <v>1625</v>
      </c>
      <c r="C55" s="6">
        <v>106.0</v>
      </c>
      <c r="D55" s="6">
        <v>105.0</v>
      </c>
      <c r="E55" s="6">
        <v>1.0</v>
      </c>
    </row>
    <row r="56">
      <c r="A56" s="1" t="s">
        <v>1679</v>
      </c>
      <c r="B56" s="1" t="s">
        <v>1625</v>
      </c>
      <c r="C56" s="6">
        <v>145.0</v>
      </c>
      <c r="D56" s="6">
        <v>41.0</v>
      </c>
      <c r="E56" s="6">
        <v>104.0</v>
      </c>
    </row>
    <row r="57">
      <c r="A57" s="1" t="s">
        <v>1680</v>
      </c>
      <c r="B57" s="1" t="s">
        <v>1625</v>
      </c>
      <c r="C57" s="6">
        <v>143.0</v>
      </c>
      <c r="D57" s="6">
        <v>23.0</v>
      </c>
      <c r="E57" s="6">
        <v>120.0</v>
      </c>
    </row>
    <row r="58">
      <c r="A58" s="1" t="s">
        <v>1681</v>
      </c>
      <c r="B58" s="1" t="s">
        <v>1625</v>
      </c>
      <c r="C58" s="6">
        <v>173.0</v>
      </c>
      <c r="D58" s="6">
        <v>32.0</v>
      </c>
      <c r="E58" s="6">
        <v>141.0</v>
      </c>
    </row>
    <row r="59">
      <c r="A59" s="1" t="s">
        <v>1682</v>
      </c>
      <c r="B59" s="1" t="s">
        <v>1625</v>
      </c>
      <c r="C59" s="6">
        <v>176.0</v>
      </c>
      <c r="D59" s="6">
        <v>175.0</v>
      </c>
      <c r="E59" s="6">
        <v>1.0</v>
      </c>
    </row>
    <row r="60">
      <c r="A60" s="1" t="s">
        <v>1683</v>
      </c>
      <c r="B60" s="1" t="s">
        <v>1625</v>
      </c>
      <c r="C60" s="6">
        <v>177.0</v>
      </c>
      <c r="D60" s="6">
        <v>176.0</v>
      </c>
      <c r="E60" s="6">
        <v>1.0</v>
      </c>
    </row>
    <row r="61">
      <c r="A61" s="1" t="s">
        <v>1684</v>
      </c>
      <c r="B61" s="1" t="s">
        <v>1625</v>
      </c>
      <c r="C61" s="6">
        <v>177.0</v>
      </c>
      <c r="D61" s="6">
        <v>176.0</v>
      </c>
      <c r="E61" s="6">
        <v>1.0</v>
      </c>
    </row>
    <row r="62">
      <c r="A62" s="1" t="s">
        <v>1685</v>
      </c>
      <c r="B62" s="1" t="s">
        <v>1625</v>
      </c>
      <c r="C62" s="6">
        <v>207.0</v>
      </c>
      <c r="D62" s="6">
        <v>30.0</v>
      </c>
      <c r="E62" s="6">
        <v>177.0</v>
      </c>
    </row>
    <row r="63">
      <c r="A63" s="1" t="s">
        <v>1686</v>
      </c>
      <c r="B63" s="1" t="s">
        <v>1625</v>
      </c>
      <c r="C63" s="6">
        <v>207.0</v>
      </c>
      <c r="D63" s="6">
        <v>0.0</v>
      </c>
      <c r="E63" s="6">
        <v>207.0</v>
      </c>
    </row>
    <row r="64">
      <c r="A64" s="1" t="s">
        <v>1687</v>
      </c>
      <c r="B64" s="1" t="s">
        <v>1625</v>
      </c>
      <c r="C64" s="6">
        <v>224.0</v>
      </c>
      <c r="D64" s="6">
        <v>18.0</v>
      </c>
      <c r="E64" s="6">
        <v>206.0</v>
      </c>
    </row>
    <row r="65">
      <c r="A65" s="1" t="s">
        <v>1688</v>
      </c>
      <c r="B65" s="1" t="s">
        <v>1625</v>
      </c>
      <c r="C65" s="6">
        <v>252.0</v>
      </c>
      <c r="D65" s="6">
        <v>29.0</v>
      </c>
      <c r="E65" s="6">
        <v>223.0</v>
      </c>
    </row>
    <row r="66">
      <c r="A66" s="1" t="s">
        <v>1689</v>
      </c>
      <c r="B66" s="1" t="s">
        <v>1625</v>
      </c>
      <c r="C66" s="6">
        <v>264.0</v>
      </c>
      <c r="D66" s="6">
        <v>61.0</v>
      </c>
      <c r="E66" s="6">
        <v>203.0</v>
      </c>
    </row>
    <row r="67">
      <c r="A67" s="1" t="s">
        <v>1690</v>
      </c>
      <c r="B67" s="1" t="s">
        <v>1625</v>
      </c>
      <c r="C67" s="6">
        <v>263.0</v>
      </c>
      <c r="D67" s="6">
        <v>262.0</v>
      </c>
      <c r="E67" s="6">
        <v>1.0</v>
      </c>
    </row>
    <row r="68">
      <c r="A68" s="1" t="s">
        <v>1691</v>
      </c>
      <c r="B68" s="1" t="s">
        <v>1625</v>
      </c>
      <c r="C68" s="6">
        <v>262.0</v>
      </c>
      <c r="D68" s="6">
        <v>261.0</v>
      </c>
      <c r="E68" s="6">
        <v>1.0</v>
      </c>
    </row>
    <row r="69">
      <c r="A69" s="1" t="s">
        <v>1692</v>
      </c>
      <c r="B69" s="1" t="s">
        <v>1625</v>
      </c>
      <c r="C69" s="6">
        <v>16.0</v>
      </c>
      <c r="D69" s="6">
        <v>16.0</v>
      </c>
      <c r="E69" s="6">
        <v>0.0</v>
      </c>
    </row>
    <row r="70">
      <c r="A70" s="1" t="s">
        <v>1693</v>
      </c>
      <c r="B70" s="1" t="s">
        <v>1625</v>
      </c>
      <c r="C70" s="6">
        <v>17.0</v>
      </c>
      <c r="D70" s="6">
        <v>7.0</v>
      </c>
      <c r="E70" s="6">
        <v>10.0</v>
      </c>
    </row>
  </sheetData>
  <drawing r:id="rId1"/>
</worksheet>
</file>